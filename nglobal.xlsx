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hmed_hamdy\Desktop\Project_1_Sales_dash\"/>
    </mc:Choice>
  </mc:AlternateContent>
  <xr:revisionPtr revIDLastSave="0" documentId="13_ncr:1_{9E6385FF-E3C7-47C1-802F-EBF066C17333}" xr6:coauthVersionLast="47" xr6:coauthVersionMax="47" xr10:uidLastSave="{00000000-0000-0000-0000-000000000000}"/>
  <bookViews>
    <workbookView xWindow="-120" yWindow="-120" windowWidth="19440" windowHeight="14880" activeTab="1" xr2:uid="{D8BEE568-A3AF-4887-9881-628C703E1E86}"/>
  </bookViews>
  <sheets>
    <sheet name="Sheet1" sheetId="1" r:id="rId1"/>
    <sheet name="Sheet2" sheetId="2" r:id="rId2"/>
    <sheet name="Executive Dashboard" sheetId="3" r:id="rId3"/>
  </sheets>
  <definedNames>
    <definedName name="ExternalData_1" localSheetId="0" hidden="1">Sheet1!$N$13:$AI$1013</definedName>
    <definedName name="Slicer_Branch_City">#N/A</definedName>
    <definedName name="Slicer_Customer_Tier">#N/A</definedName>
    <definedName name="Slicer_Product_Name">#N/A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7482594a-c50a-4ef0-93bf-6153c543c376" name="Fact_Sales" connection="Query - Fact_Sales"/>
          <x15:modelTable id="Dim_Products_06193dac-0618-486e-94c7-1539f4a883a3" name="Dim_Products" connection="Query - Dim_Products"/>
          <x15:modelTable id="Dim_Customers_9e232e2d-d268-4e84-8965-1dc7cc19974e" name="Dim_Customers" connection="Query - Dim_Customers"/>
          <x15:modelTable id="Dim_Branches_fe906ca1-4569-4b6f-bf96-3050177772e6" name="Dim_Branches" connection="Query - Dim_Branch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 r="D5" i="2"/>
  <c r="D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5E0012-3F0B-453F-AFD4-01D54AD409A5}" keepAlive="1" name="ModelConnection_ExternalData_1" description="Data Model" type="5" refreshedVersion="8" minRefreshableVersion="5" saveData="1">
    <dbPr connection="Data Model Connection" command="Fact_Sales" commandType="3"/>
    <extLst>
      <ext xmlns:x15="http://schemas.microsoft.com/office/spreadsheetml/2010/11/main" uri="{DE250136-89BD-433C-8126-D09CA5730AF9}">
        <x15:connection id="" model="1"/>
      </ext>
    </extLst>
  </connection>
  <connection id="2" xr16:uid="{ADB1DEE1-A082-451B-9693-EBA11528AB45}" name="Query - Dim_Branches" description="Connection to the 'Dim_Branches' query in the workbook." type="100" refreshedVersion="8" minRefreshableVersion="5">
    <extLst>
      <ext xmlns:x15="http://schemas.microsoft.com/office/spreadsheetml/2010/11/main" uri="{DE250136-89BD-433C-8126-D09CA5730AF9}">
        <x15:connection id="01f14a4d-e7be-4134-b488-4f70c18bea1f"/>
      </ext>
    </extLst>
  </connection>
  <connection id="3" xr16:uid="{1E1F8657-9832-43B2-9455-8241C49E0C66}" name="Query - Dim_Customers" description="Connection to the 'Dim_Customers' query in the workbook." type="100" refreshedVersion="8" minRefreshableVersion="5">
    <extLst>
      <ext xmlns:x15="http://schemas.microsoft.com/office/spreadsheetml/2010/11/main" uri="{DE250136-89BD-433C-8126-D09CA5730AF9}">
        <x15:connection id="d6551ede-4389-4c76-8895-4b0eb9e39800">
          <x15:oledbPr connection="Provider=Microsoft.Mashup.OleDb.1;Data Source=$Workbook$;Location=Dim_Customers;Extended Properties=&quot;&quot;">
            <x15:dbTables>
              <x15:dbTable name="Dim_Customers"/>
            </x15:dbTables>
          </x15:oledbPr>
        </x15:connection>
      </ext>
    </extLst>
  </connection>
  <connection id="4" xr16:uid="{DE4D2AA1-D44A-49FD-9615-BFC2BC4E49D5}" name="Query - Dim_Products" description="Connection to the 'Dim_Products' query in the workbook." type="100" refreshedVersion="8" minRefreshableVersion="5">
    <extLst>
      <ext xmlns:x15="http://schemas.microsoft.com/office/spreadsheetml/2010/11/main" uri="{DE250136-89BD-433C-8126-D09CA5730AF9}">
        <x15:connection id="a0f092f0-6083-4c7a-9c49-e805e1f9ead2">
          <x15:oledbPr connection="Provider=Microsoft.Mashup.OleDb.1;Data Source=$Workbook$;Location=Dim_Products;Extended Properties=&quot;&quot;">
            <x15:dbTables>
              <x15:dbTable name="Dim_Products"/>
            </x15:dbTables>
          </x15:oledbPr>
        </x15:connection>
      </ext>
    </extLst>
  </connection>
  <connection id="5" xr16:uid="{04D00B7A-06E3-4697-846B-06ED29FF70EB}" name="Query - Fact_Sales" description="Connection to the 'Fact_Sales' query in the workbook." type="100" refreshedVersion="8" minRefreshableVersion="5">
    <extLst>
      <ext xmlns:x15="http://schemas.microsoft.com/office/spreadsheetml/2010/11/main" uri="{DE250136-89BD-433C-8126-D09CA5730AF9}">
        <x15:connection id="157bd71a-49f4-4ece-888f-d2e3cc2493fc"/>
      </ext>
    </extLst>
  </connection>
  <connection id="6" xr16:uid="{9C996CA3-FE87-491D-99C0-7F1DB2B634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<sst xmlns="http://schemas.openxmlformats.org/spreadsheetml/2006/main" count="6057" uniqueCount="1048">
  <si>
    <t>Order_ID</t>
  </si>
  <si>
    <t>Date</t>
  </si>
  <si>
    <t>Product_ID</t>
  </si>
  <si>
    <t>Branch_ID</t>
  </si>
  <si>
    <t>Customer_Tier</t>
  </si>
  <si>
    <t>Quantity</t>
  </si>
  <si>
    <t>Product_Name</t>
  </si>
  <si>
    <t>Unit_Price</t>
  </si>
  <si>
    <t>Std_Cost</t>
  </si>
  <si>
    <t>Weight_KG</t>
  </si>
  <si>
    <t>Branch_City</t>
  </si>
  <si>
    <t>Ship_Rate_Per_KG</t>
  </si>
  <si>
    <t>Customs_Rate</t>
  </si>
  <si>
    <t>Discount_Rate</t>
  </si>
  <si>
    <t>Gross revenue</t>
  </si>
  <si>
    <t>Net Sales</t>
  </si>
  <si>
    <t>Total Weight</t>
  </si>
  <si>
    <t>Shipping Costs</t>
  </si>
  <si>
    <t>Customs Expenses</t>
  </si>
  <si>
    <t>Cost Of Good Sold</t>
  </si>
  <si>
    <t>Net Profit</t>
  </si>
  <si>
    <t>ORD-1003</t>
  </si>
  <si>
    <t>P-003</t>
  </si>
  <si>
    <t>BR-10</t>
  </si>
  <si>
    <t>C</t>
  </si>
  <si>
    <t>Classic_Office_Mat</t>
  </si>
  <si>
    <t>Dubai</t>
  </si>
  <si>
    <t>ORD-1005</t>
  </si>
  <si>
    <t>ORD-1006</t>
  </si>
  <si>
    <t>A</t>
  </si>
  <si>
    <t>ORD-1011</t>
  </si>
  <si>
    <t>ORD-1017</t>
  </si>
  <si>
    <t>B</t>
  </si>
  <si>
    <t>ORD-1032</t>
  </si>
  <si>
    <t>ORD-1035</t>
  </si>
  <si>
    <t>ORD-1036</t>
  </si>
  <si>
    <t>ORD-1048</t>
  </si>
  <si>
    <t>ORD-1052</t>
  </si>
  <si>
    <t>ORD-1054</t>
  </si>
  <si>
    <t>ORD-1058</t>
  </si>
  <si>
    <t>ORD-1063</t>
  </si>
  <si>
    <t>ORD-1066</t>
  </si>
  <si>
    <t>ORD-1076</t>
  </si>
  <si>
    <t>ORD-1089</t>
  </si>
  <si>
    <t>ORD-1108</t>
  </si>
  <si>
    <t>ORD-1118</t>
  </si>
  <si>
    <t>ORD-1119</t>
  </si>
  <si>
    <t>ORD-1122</t>
  </si>
  <si>
    <t>ORD-1129</t>
  </si>
  <si>
    <t>ORD-1136</t>
  </si>
  <si>
    <t>ORD-1138</t>
  </si>
  <si>
    <t>ORD-1143</t>
  </si>
  <si>
    <t>ORD-1144</t>
  </si>
  <si>
    <t>ORD-1155</t>
  </si>
  <si>
    <t>ORD-1161</t>
  </si>
  <si>
    <t>ORD-1174</t>
  </si>
  <si>
    <t>ORD-1176</t>
  </si>
  <si>
    <t>ORD-1182</t>
  </si>
  <si>
    <t>ORD-1184</t>
  </si>
  <si>
    <t>ORD-1185</t>
  </si>
  <si>
    <t>ORD-1188</t>
  </si>
  <si>
    <t>ORD-1193</t>
  </si>
  <si>
    <t>ORD-1196</t>
  </si>
  <si>
    <t>ORD-1206</t>
  </si>
  <si>
    <t>ORD-1221</t>
  </si>
  <si>
    <t>ORD-1231</t>
  </si>
  <si>
    <t>ORD-1234</t>
  </si>
  <si>
    <t>ORD-1243</t>
  </si>
  <si>
    <t>ORD-1257</t>
  </si>
  <si>
    <t>ORD-1266</t>
  </si>
  <si>
    <t>ORD-1277</t>
  </si>
  <si>
    <t>ORD-1278</t>
  </si>
  <si>
    <t>ORD-1285</t>
  </si>
  <si>
    <t>ORD-1289</t>
  </si>
  <si>
    <t>ORD-1293</t>
  </si>
  <si>
    <t>ORD-1299</t>
  </si>
  <si>
    <t>ORD-1302</t>
  </si>
  <si>
    <t>ORD-1306</t>
  </si>
  <si>
    <t>ORD-1312</t>
  </si>
  <si>
    <t>ORD-1313</t>
  </si>
  <si>
    <t>ORD-1336</t>
  </si>
  <si>
    <t>ORD-1339</t>
  </si>
  <si>
    <t>ORD-1350</t>
  </si>
  <si>
    <t>ORD-1382</t>
  </si>
  <si>
    <t>ORD-1391</t>
  </si>
  <si>
    <t>ORD-1397</t>
  </si>
  <si>
    <t>ORD-1403</t>
  </si>
  <si>
    <t>ORD-1406</t>
  </si>
  <si>
    <t>ORD-1407</t>
  </si>
  <si>
    <t>ORD-1414</t>
  </si>
  <si>
    <t>ORD-1421</t>
  </si>
  <si>
    <t>ORD-1428</t>
  </si>
  <si>
    <t>ORD-1439</t>
  </si>
  <si>
    <t>ORD-1440</t>
  </si>
  <si>
    <t>ORD-1445</t>
  </si>
  <si>
    <t>ORD-1448</t>
  </si>
  <si>
    <t>ORD-1451</t>
  </si>
  <si>
    <t>ORD-1460</t>
  </si>
  <si>
    <t>ORD-1478</t>
  </si>
  <si>
    <t>ORD-1493</t>
  </si>
  <si>
    <t>ORD-1495</t>
  </si>
  <si>
    <t>ORD-1502</t>
  </si>
  <si>
    <t>ORD-1506</t>
  </si>
  <si>
    <t>ORD-1508</t>
  </si>
  <si>
    <t>ORD-1562</t>
  </si>
  <si>
    <t>ORD-1568</t>
  </si>
  <si>
    <t>ORD-1572</t>
  </si>
  <si>
    <t>ORD-1574</t>
  </si>
  <si>
    <t>ORD-1580</t>
  </si>
  <si>
    <t>ORD-1607</t>
  </si>
  <si>
    <t>ORD-1614</t>
  </si>
  <si>
    <t>ORD-1623</t>
  </si>
  <si>
    <t>ORD-1627</t>
  </si>
  <si>
    <t>ORD-1641</t>
  </si>
  <si>
    <t>ORD-1651</t>
  </si>
  <si>
    <t>ORD-1652</t>
  </si>
  <si>
    <t>ORD-1653</t>
  </si>
  <si>
    <t>ORD-1654</t>
  </si>
  <si>
    <t>ORD-1655</t>
  </si>
  <si>
    <t>ORD-1658</t>
  </si>
  <si>
    <t>ORD-1660</t>
  </si>
  <si>
    <t>ORD-1665</t>
  </si>
  <si>
    <t>ORD-1693</t>
  </si>
  <si>
    <t>ORD-1704</t>
  </si>
  <si>
    <t>ORD-1707</t>
  </si>
  <si>
    <t>ORD-1718</t>
  </si>
  <si>
    <t>ORD-1737</t>
  </si>
  <si>
    <t>ORD-1749</t>
  </si>
  <si>
    <t>ORD-1751</t>
  </si>
  <si>
    <t>ORD-1775</t>
  </si>
  <si>
    <t>ORD-1776</t>
  </si>
  <si>
    <t>ORD-1779</t>
  </si>
  <si>
    <t>ORD-1781</t>
  </si>
  <si>
    <t>ORD-1786</t>
  </si>
  <si>
    <t>ORD-1791</t>
  </si>
  <si>
    <t>ORD-1806</t>
  </si>
  <si>
    <t>ORD-1823</t>
  </si>
  <si>
    <t>ORD-1832</t>
  </si>
  <si>
    <t>ORD-1838</t>
  </si>
  <si>
    <t>ORD-1841</t>
  </si>
  <si>
    <t>ORD-1849</t>
  </si>
  <si>
    <t>ORD-1853</t>
  </si>
  <si>
    <t>ORD-1856</t>
  </si>
  <si>
    <t>ORD-1884</t>
  </si>
  <si>
    <t>ORD-1889</t>
  </si>
  <si>
    <t>ORD-1896</t>
  </si>
  <si>
    <t>ORD-1903</t>
  </si>
  <si>
    <t>ORD-1923</t>
  </si>
  <si>
    <t>ORD-1934</t>
  </si>
  <si>
    <t>ORD-1945</t>
  </si>
  <si>
    <t>ORD-1947</t>
  </si>
  <si>
    <t>ORD-1973</t>
  </si>
  <si>
    <t>ORD-1981</t>
  </si>
  <si>
    <t>ORD-1997</t>
  </si>
  <si>
    <t>ORD-1007</t>
  </si>
  <si>
    <t>BR-30</t>
  </si>
  <si>
    <t>New_York</t>
  </si>
  <si>
    <t>ORD-1009</t>
  </si>
  <si>
    <t>ORD-1014</t>
  </si>
  <si>
    <t>ORD-1025</t>
  </si>
  <si>
    <t>ORD-1038</t>
  </si>
  <si>
    <t>ORD-1041</t>
  </si>
  <si>
    <t>ORD-1042</t>
  </si>
  <si>
    <t>ORD-1046</t>
  </si>
  <si>
    <t>ORD-1049</t>
  </si>
  <si>
    <t>ORD-1050</t>
  </si>
  <si>
    <t>ORD-1069</t>
  </si>
  <si>
    <t>ORD-1072</t>
  </si>
  <si>
    <t>ORD-1078</t>
  </si>
  <si>
    <t>ORD-1095</t>
  </si>
  <si>
    <t>ORD-1097</t>
  </si>
  <si>
    <t>ORD-1100</t>
  </si>
  <si>
    <t>ORD-1107</t>
  </si>
  <si>
    <t>ORD-1112</t>
  </si>
  <si>
    <t>ORD-1121</t>
  </si>
  <si>
    <t>ORD-1132</t>
  </si>
  <si>
    <t>ORD-1139</t>
  </si>
  <si>
    <t>ORD-1151</t>
  </si>
  <si>
    <t>ORD-1153</t>
  </si>
  <si>
    <t>ORD-1173</t>
  </si>
  <si>
    <t>ORD-1189</t>
  </si>
  <si>
    <t>ORD-1195</t>
  </si>
  <si>
    <t>ORD-1202</t>
  </si>
  <si>
    <t>ORD-1205</t>
  </si>
  <si>
    <t>ORD-1216</t>
  </si>
  <si>
    <t>ORD-1219</t>
  </si>
  <si>
    <t>ORD-1235</t>
  </si>
  <si>
    <t>ORD-1238</t>
  </si>
  <si>
    <t>ORD-1242</t>
  </si>
  <si>
    <t>ORD-1260</t>
  </si>
  <si>
    <t>ORD-1284</t>
  </si>
  <si>
    <t>ORD-1298</t>
  </si>
  <si>
    <t>ORD-1300</t>
  </si>
  <si>
    <t>ORD-1308</t>
  </si>
  <si>
    <t>ORD-1309</t>
  </si>
  <si>
    <t>ORD-1315</t>
  </si>
  <si>
    <t>ORD-1320</t>
  </si>
  <si>
    <t>ORD-1322</t>
  </si>
  <si>
    <t>ORD-1323</t>
  </si>
  <si>
    <t>ORD-1340</t>
  </si>
  <si>
    <t>ORD-1343</t>
  </si>
  <si>
    <t>ORD-1346</t>
  </si>
  <si>
    <t>ORD-1358</t>
  </si>
  <si>
    <t>ORD-1359</t>
  </si>
  <si>
    <t>ORD-1366</t>
  </si>
  <si>
    <t>ORD-1370</t>
  </si>
  <si>
    <t>ORD-1384</t>
  </si>
  <si>
    <t>ORD-1387</t>
  </si>
  <si>
    <t>ORD-1392</t>
  </si>
  <si>
    <t>ORD-1401</t>
  </si>
  <si>
    <t>ORD-1408</t>
  </si>
  <si>
    <t>ORD-1410</t>
  </si>
  <si>
    <t>ORD-1412</t>
  </si>
  <si>
    <t>ORD-1430</t>
  </si>
  <si>
    <t>ORD-1431</t>
  </si>
  <si>
    <t>ORD-1450</t>
  </si>
  <si>
    <t>ORD-1459</t>
  </si>
  <si>
    <t>ORD-1465</t>
  </si>
  <si>
    <t>ORD-1474</t>
  </si>
  <si>
    <t>ORD-1482</t>
  </si>
  <si>
    <t>ORD-1499</t>
  </si>
  <si>
    <t>ORD-1516</t>
  </si>
  <si>
    <t>ORD-1517</t>
  </si>
  <si>
    <t>ORD-1522</t>
  </si>
  <si>
    <t>ORD-1523</t>
  </si>
  <si>
    <t>ORD-1531</t>
  </si>
  <si>
    <t>ORD-1533</t>
  </si>
  <si>
    <t>ORD-1556</t>
  </si>
  <si>
    <t>ORD-1559</t>
  </si>
  <si>
    <t>ORD-1575</t>
  </si>
  <si>
    <t>ORD-1583</t>
  </si>
  <si>
    <t>ORD-1587</t>
  </si>
  <si>
    <t>ORD-1590</t>
  </si>
  <si>
    <t>ORD-1591</t>
  </si>
  <si>
    <t>ORD-1611</t>
  </si>
  <si>
    <t>ORD-1617</t>
  </si>
  <si>
    <t>ORD-1618</t>
  </si>
  <si>
    <t>ORD-1633</t>
  </si>
  <si>
    <t>ORD-1645</t>
  </si>
  <si>
    <t>ORD-1649</t>
  </si>
  <si>
    <t>ORD-1661</t>
  </si>
  <si>
    <t>ORD-1664</t>
  </si>
  <si>
    <t>ORD-1667</t>
  </si>
  <si>
    <t>ORD-1677</t>
  </si>
  <si>
    <t>ORD-1678</t>
  </si>
  <si>
    <t>ORD-1683</t>
  </si>
  <si>
    <t>ORD-1688</t>
  </si>
  <si>
    <t>ORD-1697</t>
  </si>
  <si>
    <t>ORD-1700</t>
  </si>
  <si>
    <t>ORD-1721</t>
  </si>
  <si>
    <t>ORD-1731</t>
  </si>
  <si>
    <t>ORD-1732</t>
  </si>
  <si>
    <t>ORD-1743</t>
  </si>
  <si>
    <t>ORD-1748</t>
  </si>
  <si>
    <t>ORD-1760</t>
  </si>
  <si>
    <t>ORD-1765</t>
  </si>
  <si>
    <t>ORD-1787</t>
  </si>
  <si>
    <t>ORD-1792</t>
  </si>
  <si>
    <t>ORD-1822</t>
  </si>
  <si>
    <t>ORD-1826</t>
  </si>
  <si>
    <t>ORD-1830</t>
  </si>
  <si>
    <t>ORD-1845</t>
  </si>
  <si>
    <t>ORD-1850</t>
  </si>
  <si>
    <t>ORD-1857</t>
  </si>
  <si>
    <t>ORD-1864</t>
  </si>
  <si>
    <t>ORD-1868</t>
  </si>
  <si>
    <t>ORD-1904</t>
  </si>
  <si>
    <t>ORD-1914</t>
  </si>
  <si>
    <t>ORD-1916</t>
  </si>
  <si>
    <t>ORD-1919</t>
  </si>
  <si>
    <t>ORD-1936</t>
  </si>
  <si>
    <t>ORD-1950</t>
  </si>
  <si>
    <t>ORD-1953</t>
  </si>
  <si>
    <t>ORD-1968</t>
  </si>
  <si>
    <t>ORD-1975</t>
  </si>
  <si>
    <t>ORD-1985</t>
  </si>
  <si>
    <t>ORD-1016</t>
  </si>
  <si>
    <t>BR-20</t>
  </si>
  <si>
    <t>London</t>
  </si>
  <si>
    <t>ORD-1029</t>
  </si>
  <si>
    <t>ORD-1039</t>
  </si>
  <si>
    <t>ORD-1045</t>
  </si>
  <si>
    <t>ORD-1055</t>
  </si>
  <si>
    <t>ORD-1056</t>
  </si>
  <si>
    <t>ORD-1059</t>
  </si>
  <si>
    <t>ORD-1071</t>
  </si>
  <si>
    <t>ORD-1093</t>
  </si>
  <si>
    <t>ORD-1104</t>
  </si>
  <si>
    <t>ORD-1115</t>
  </si>
  <si>
    <t>ORD-1117</t>
  </si>
  <si>
    <t>ORD-1134</t>
  </si>
  <si>
    <t>ORD-1152</t>
  </si>
  <si>
    <t>ORD-1166</t>
  </si>
  <si>
    <t>ORD-1197</t>
  </si>
  <si>
    <t>ORD-1198</t>
  </si>
  <si>
    <t>ORD-1200</t>
  </si>
  <si>
    <t>ORD-1209</t>
  </si>
  <si>
    <t>ORD-1251</t>
  </si>
  <si>
    <t>ORD-1253</t>
  </si>
  <si>
    <t>ORD-1275</t>
  </si>
  <si>
    <t>ORD-1281</t>
  </si>
  <si>
    <t>ORD-1295</t>
  </si>
  <si>
    <t>ORD-1296</t>
  </si>
  <si>
    <t>ORD-1305</t>
  </si>
  <si>
    <t>ORD-1317</t>
  </si>
  <si>
    <t>ORD-1326</t>
  </si>
  <si>
    <t>ORD-1333</t>
  </si>
  <si>
    <t>ORD-1334</t>
  </si>
  <si>
    <t>ORD-1341</t>
  </si>
  <si>
    <t>ORD-1344</t>
  </si>
  <si>
    <t>ORD-1347</t>
  </si>
  <si>
    <t>ORD-1355</t>
  </si>
  <si>
    <t>ORD-1364</t>
  </si>
  <si>
    <t>ORD-1365</t>
  </si>
  <si>
    <t>ORD-1368</t>
  </si>
  <si>
    <t>ORD-1376</t>
  </si>
  <si>
    <t>ORD-1395</t>
  </si>
  <si>
    <t>ORD-1398</t>
  </si>
  <si>
    <t>ORD-1404</t>
  </si>
  <si>
    <t>ORD-1422</t>
  </si>
  <si>
    <t>ORD-1433</t>
  </si>
  <si>
    <t>ORD-1434</t>
  </si>
  <si>
    <t>ORD-1437</t>
  </si>
  <si>
    <t>ORD-1454</t>
  </si>
  <si>
    <t>ORD-1456</t>
  </si>
  <si>
    <t>ORD-1490</t>
  </si>
  <si>
    <t>ORD-1491</t>
  </si>
  <si>
    <t>ORD-1496</t>
  </si>
  <si>
    <t>ORD-1503</t>
  </si>
  <si>
    <t>ORD-1505</t>
  </si>
  <si>
    <t>ORD-1511</t>
  </si>
  <si>
    <t>ORD-1520</t>
  </si>
  <si>
    <t>ORD-1539</t>
  </si>
  <si>
    <t>ORD-1545</t>
  </si>
  <si>
    <t>ORD-1553</t>
  </si>
  <si>
    <t>ORD-1560</t>
  </si>
  <si>
    <t>ORD-1561</t>
  </si>
  <si>
    <t>ORD-1567</t>
  </si>
  <si>
    <t>ORD-1585</t>
  </si>
  <si>
    <t>ORD-1588</t>
  </si>
  <si>
    <t>ORD-1589</t>
  </si>
  <si>
    <t>ORD-1596</t>
  </si>
  <si>
    <t>ORD-1603</t>
  </si>
  <si>
    <t>ORD-1604</t>
  </si>
  <si>
    <t>ORD-1605</t>
  </si>
  <si>
    <t>ORD-1616</t>
  </si>
  <si>
    <t>ORD-1624</t>
  </si>
  <si>
    <t>ORD-1637</t>
  </si>
  <si>
    <t>ORD-1639</t>
  </si>
  <si>
    <t>ORD-1644</t>
  </si>
  <si>
    <t>ORD-1685</t>
  </si>
  <si>
    <t>ORD-1706</t>
  </si>
  <si>
    <t>ORD-1711</t>
  </si>
  <si>
    <t>ORD-1714</t>
  </si>
  <si>
    <t>ORD-1717</t>
  </si>
  <si>
    <t>ORD-1735</t>
  </si>
  <si>
    <t>ORD-1739</t>
  </si>
  <si>
    <t>ORD-1747</t>
  </si>
  <si>
    <t>ORD-1752</t>
  </si>
  <si>
    <t>ORD-1755</t>
  </si>
  <si>
    <t>ORD-1769</t>
  </si>
  <si>
    <t>ORD-1773</t>
  </si>
  <si>
    <t>ORD-1774</t>
  </si>
  <si>
    <t>ORD-1780</t>
  </si>
  <si>
    <t>ORD-1783</t>
  </si>
  <si>
    <t>ORD-1795</t>
  </si>
  <si>
    <t>ORD-1802</t>
  </si>
  <si>
    <t>ORD-1816</t>
  </si>
  <si>
    <t>ORD-1818</t>
  </si>
  <si>
    <t>ORD-1835</t>
  </si>
  <si>
    <t>ORD-1859</t>
  </si>
  <si>
    <t>ORD-1875</t>
  </si>
  <si>
    <t>ORD-1886</t>
  </si>
  <si>
    <t>ORD-1899</t>
  </si>
  <si>
    <t>ORD-1909</t>
  </si>
  <si>
    <t>ORD-1928</t>
  </si>
  <si>
    <t>ORD-1929</t>
  </si>
  <si>
    <t>ORD-1932</t>
  </si>
  <si>
    <t>ORD-1942</t>
  </si>
  <si>
    <t>ORD-1955</t>
  </si>
  <si>
    <t>ORD-1957</t>
  </si>
  <si>
    <t>ORD-1964</t>
  </si>
  <si>
    <t>ORD-1974</t>
  </si>
  <si>
    <t>ORD-1979</t>
  </si>
  <si>
    <t>ORD-1988</t>
  </si>
  <si>
    <t>ORD-1993</t>
  </si>
  <si>
    <t>ORD-1998</t>
  </si>
  <si>
    <t>ORD-1999</t>
  </si>
  <si>
    <t>ORD-1015</t>
  </si>
  <si>
    <t>P-002</t>
  </si>
  <si>
    <t>Modern_Wool_Rug</t>
  </si>
  <si>
    <t>ORD-1018</t>
  </si>
  <si>
    <t>ORD-1028</t>
  </si>
  <si>
    <t>ORD-1044</t>
  </si>
  <si>
    <t>ORD-1057</t>
  </si>
  <si>
    <t>ORD-1060</t>
  </si>
  <si>
    <t>ORD-1070</t>
  </si>
  <si>
    <t>ORD-1075</t>
  </si>
  <si>
    <t>ORD-1098</t>
  </si>
  <si>
    <t>ORD-1126</t>
  </si>
  <si>
    <t>ORD-1135</t>
  </si>
  <si>
    <t>ORD-1146</t>
  </si>
  <si>
    <t>ORD-1156</t>
  </si>
  <si>
    <t>ORD-1157</t>
  </si>
  <si>
    <t>ORD-1158</t>
  </si>
  <si>
    <t>ORD-1159</t>
  </si>
  <si>
    <t>ORD-1160</t>
  </si>
  <si>
    <t>ORD-1167</t>
  </si>
  <si>
    <t>ORD-1175</t>
  </si>
  <si>
    <t>ORD-1178</t>
  </si>
  <si>
    <t>ORD-1179</t>
  </si>
  <si>
    <t>ORD-1181</t>
  </si>
  <si>
    <t>ORD-1192</t>
  </si>
  <si>
    <t>ORD-1194</t>
  </si>
  <si>
    <t>ORD-1204</t>
  </si>
  <si>
    <t>ORD-1207</t>
  </si>
  <si>
    <t>ORD-1211</t>
  </si>
  <si>
    <t>ORD-1232</t>
  </si>
  <si>
    <t>ORD-1247</t>
  </si>
  <si>
    <t>ORD-1248</t>
  </si>
  <si>
    <t>ORD-1264</t>
  </si>
  <si>
    <t>ORD-1269</t>
  </si>
  <si>
    <t>ORD-1271</t>
  </si>
  <si>
    <t>ORD-1290</t>
  </si>
  <si>
    <t>ORD-1291</t>
  </si>
  <si>
    <t>ORD-1297</t>
  </si>
  <si>
    <t>ORD-1304</t>
  </si>
  <si>
    <t>ORD-1316</t>
  </si>
  <si>
    <t>ORD-1321</t>
  </si>
  <si>
    <t>ORD-1324</t>
  </si>
  <si>
    <t>ORD-1357</t>
  </si>
  <si>
    <t>ORD-1361</t>
  </si>
  <si>
    <t>ORD-1362</t>
  </si>
  <si>
    <t>ORD-1375</t>
  </si>
  <si>
    <t>ORD-1393</t>
  </si>
  <si>
    <t>ORD-1405</t>
  </si>
  <si>
    <t>ORD-1420</t>
  </si>
  <si>
    <t>ORD-1423</t>
  </si>
  <si>
    <t>ORD-1441</t>
  </si>
  <si>
    <t>ORD-1473</t>
  </si>
  <si>
    <t>ORD-1480</t>
  </si>
  <si>
    <t>ORD-1500</t>
  </si>
  <si>
    <t>ORD-1526</t>
  </si>
  <si>
    <t>ORD-1532</t>
  </si>
  <si>
    <t>ORD-1535</t>
  </si>
  <si>
    <t>ORD-1538</t>
  </si>
  <si>
    <t>ORD-1540</t>
  </si>
  <si>
    <t>ORD-1542</t>
  </si>
  <si>
    <t>ORD-1546</t>
  </si>
  <si>
    <t>ORD-1550</t>
  </si>
  <si>
    <t>ORD-1552</t>
  </si>
  <si>
    <t>ORD-1573</t>
  </si>
  <si>
    <t>ORD-1579</t>
  </si>
  <si>
    <t>ORD-1594</t>
  </si>
  <si>
    <t>ORD-1595</t>
  </si>
  <si>
    <t>ORD-1599</t>
  </si>
  <si>
    <t>ORD-1610</t>
  </si>
  <si>
    <t>ORD-1615</t>
  </si>
  <si>
    <t>ORD-1628</t>
  </si>
  <si>
    <t>ORD-1632</t>
  </si>
  <si>
    <t>ORD-1638</t>
  </si>
  <si>
    <t>ORD-1643</t>
  </si>
  <si>
    <t>ORD-1656</t>
  </si>
  <si>
    <t>ORD-1666</t>
  </si>
  <si>
    <t>ORD-1670</t>
  </si>
  <si>
    <t>ORD-1674</t>
  </si>
  <si>
    <t>ORD-1679</t>
  </si>
  <si>
    <t>ORD-1689</t>
  </si>
  <si>
    <t>ORD-1692</t>
  </si>
  <si>
    <t>ORD-1699</t>
  </si>
  <si>
    <t>ORD-1702</t>
  </si>
  <si>
    <t>ORD-1705</t>
  </si>
  <si>
    <t>ORD-1708</t>
  </si>
  <si>
    <t>ORD-1713</t>
  </si>
  <si>
    <t>ORD-1728</t>
  </si>
  <si>
    <t>ORD-1738</t>
  </si>
  <si>
    <t>ORD-1742</t>
  </si>
  <si>
    <t>ORD-1745</t>
  </si>
  <si>
    <t>ORD-1746</t>
  </si>
  <si>
    <t>ORD-1767</t>
  </si>
  <si>
    <t>ORD-1768</t>
  </si>
  <si>
    <t>ORD-1784</t>
  </si>
  <si>
    <t>ORD-1807</t>
  </si>
  <si>
    <t>ORD-1825</t>
  </si>
  <si>
    <t>ORD-1829</t>
  </si>
  <si>
    <t>ORD-1839</t>
  </si>
  <si>
    <t>ORD-1843</t>
  </si>
  <si>
    <t>ORD-1858</t>
  </si>
  <si>
    <t>ORD-1878</t>
  </si>
  <si>
    <t>ORD-1880</t>
  </si>
  <si>
    <t>ORD-1891</t>
  </si>
  <si>
    <t>ORD-1894</t>
  </si>
  <si>
    <t>ORD-1898</t>
  </si>
  <si>
    <t>ORD-1902</t>
  </si>
  <si>
    <t>ORD-1906</t>
  </si>
  <si>
    <t>ORD-1926</t>
  </si>
  <si>
    <t>ORD-1927</t>
  </si>
  <si>
    <t>ORD-1967</t>
  </si>
  <si>
    <t>ORD-1976</t>
  </si>
  <si>
    <t>ORD-1987</t>
  </si>
  <si>
    <t>ORD-1996</t>
  </si>
  <si>
    <t>ORD-1024</t>
  </si>
  <si>
    <t>ORD-1026</t>
  </si>
  <si>
    <t>ORD-1037</t>
  </si>
  <si>
    <t>ORD-1067</t>
  </si>
  <si>
    <t>ORD-1081</t>
  </si>
  <si>
    <t>ORD-1091</t>
  </si>
  <si>
    <t>ORD-1094</t>
  </si>
  <si>
    <t>ORD-1106</t>
  </si>
  <si>
    <t>ORD-1114</t>
  </si>
  <si>
    <t>ORD-1120</t>
  </si>
  <si>
    <t>ORD-1123</t>
  </si>
  <si>
    <t>ORD-1131</t>
  </si>
  <si>
    <t>ORD-1140</t>
  </si>
  <si>
    <t>ORD-1150</t>
  </si>
  <si>
    <t>ORD-1163</t>
  </si>
  <si>
    <t>ORD-1168</t>
  </si>
  <si>
    <t>ORD-1169</t>
  </si>
  <si>
    <t>ORD-1170</t>
  </si>
  <si>
    <t>ORD-1186</t>
  </si>
  <si>
    <t>ORD-1208</t>
  </si>
  <si>
    <t>ORD-1215</t>
  </si>
  <si>
    <t>ORD-1217</t>
  </si>
  <si>
    <t>ORD-1230</t>
  </si>
  <si>
    <t>ORD-1233</t>
  </si>
  <si>
    <t>ORD-1240</t>
  </si>
  <si>
    <t>ORD-1241</t>
  </si>
  <si>
    <t>ORD-1258</t>
  </si>
  <si>
    <t>ORD-1272</t>
  </si>
  <si>
    <t>ORD-1276</t>
  </si>
  <si>
    <t>ORD-1282</t>
  </si>
  <si>
    <t>ORD-1348</t>
  </si>
  <si>
    <t>ORD-1352</t>
  </si>
  <si>
    <t>ORD-1367</t>
  </si>
  <si>
    <t>ORD-1374</t>
  </si>
  <si>
    <t>ORD-1377</t>
  </si>
  <si>
    <t>ORD-1379</t>
  </si>
  <si>
    <t>ORD-1386</t>
  </si>
  <si>
    <t>ORD-1388</t>
  </si>
  <si>
    <t>ORD-1390</t>
  </si>
  <si>
    <t>ORD-1402</t>
  </si>
  <si>
    <t>ORD-1415</t>
  </si>
  <si>
    <t>ORD-1419</t>
  </si>
  <si>
    <t>ORD-1424</t>
  </si>
  <si>
    <t>ORD-1427</t>
  </si>
  <si>
    <t>ORD-1432</t>
  </si>
  <si>
    <t>ORD-1435</t>
  </si>
  <si>
    <t>ORD-1443</t>
  </si>
  <si>
    <t>ORD-1446</t>
  </si>
  <si>
    <t>ORD-1452</t>
  </si>
  <si>
    <t>ORD-1455</t>
  </si>
  <si>
    <t>ORD-1463</t>
  </si>
  <si>
    <t>ORD-1468</t>
  </si>
  <si>
    <t>ORD-1469</t>
  </si>
  <si>
    <t>ORD-1485</t>
  </si>
  <si>
    <t>ORD-1486</t>
  </si>
  <si>
    <t>ORD-1492</t>
  </si>
  <si>
    <t>ORD-1518</t>
  </si>
  <si>
    <t>ORD-1528</t>
  </si>
  <si>
    <t>ORD-1534</t>
  </si>
  <si>
    <t>ORD-1536</t>
  </si>
  <si>
    <t>ORD-1541</t>
  </si>
  <si>
    <t>ORD-1543</t>
  </si>
  <si>
    <t>ORD-1548</t>
  </si>
  <si>
    <t>ORD-1554</t>
  </si>
  <si>
    <t>ORD-1557</t>
  </si>
  <si>
    <t>ORD-1592</t>
  </si>
  <si>
    <t>ORD-1593</t>
  </si>
  <si>
    <t>ORD-1597</t>
  </si>
  <si>
    <t>ORD-1600</t>
  </si>
  <si>
    <t>ORD-1602</t>
  </si>
  <si>
    <t>ORD-1622</t>
  </si>
  <si>
    <t>ORD-1630</t>
  </si>
  <si>
    <t>ORD-1642</t>
  </si>
  <si>
    <t>ORD-1646</t>
  </si>
  <si>
    <t>ORD-1647</t>
  </si>
  <si>
    <t>ORD-1659</t>
  </si>
  <si>
    <t>ORD-1680</t>
  </si>
  <si>
    <t>ORD-1715</t>
  </si>
  <si>
    <t>ORD-1720</t>
  </si>
  <si>
    <t>ORD-1724</t>
  </si>
  <si>
    <t>ORD-1725</t>
  </si>
  <si>
    <t>ORD-1763</t>
  </si>
  <si>
    <t>ORD-1771</t>
  </si>
  <si>
    <t>ORD-1772</t>
  </si>
  <si>
    <t>ORD-1790</t>
  </si>
  <si>
    <t>ORD-1803</t>
  </si>
  <si>
    <t>ORD-1814</t>
  </si>
  <si>
    <t>ORD-1817</t>
  </si>
  <si>
    <t>ORD-1828</t>
  </si>
  <si>
    <t>ORD-1842</t>
  </si>
  <si>
    <t>ORD-1852</t>
  </si>
  <si>
    <t>ORD-1854</t>
  </si>
  <si>
    <t>ORD-1862</t>
  </si>
  <si>
    <t>ORD-1871</t>
  </si>
  <si>
    <t>ORD-1872</t>
  </si>
  <si>
    <t>ORD-1892</t>
  </si>
  <si>
    <t>ORD-1893</t>
  </si>
  <si>
    <t>ORD-1900</t>
  </si>
  <si>
    <t>ORD-1905</t>
  </si>
  <si>
    <t>ORD-1910</t>
  </si>
  <si>
    <t>ORD-1913</t>
  </si>
  <si>
    <t>ORD-1925</t>
  </si>
  <si>
    <t>ORD-1931</t>
  </si>
  <si>
    <t>ORD-1935</t>
  </si>
  <si>
    <t>ORD-1939</t>
  </si>
  <si>
    <t>ORD-1944</t>
  </si>
  <si>
    <t>ORD-1959</t>
  </si>
  <si>
    <t>ORD-1962</t>
  </si>
  <si>
    <t>ORD-1980</t>
  </si>
  <si>
    <t>ORD-1986</t>
  </si>
  <si>
    <t>ORD-1992</t>
  </si>
  <si>
    <t>ORD-1000</t>
  </si>
  <si>
    <t>ORD-1001</t>
  </si>
  <si>
    <t>ORD-1002</t>
  </si>
  <si>
    <t>ORD-1019</t>
  </si>
  <si>
    <t>ORD-1021</t>
  </si>
  <si>
    <t>ORD-1023</t>
  </si>
  <si>
    <t>ORD-1033</t>
  </si>
  <si>
    <t>ORD-1034</t>
  </si>
  <si>
    <t>ORD-1047</t>
  </si>
  <si>
    <t>ORD-1053</t>
  </si>
  <si>
    <t>ORD-1068</t>
  </si>
  <si>
    <t>ORD-1073</t>
  </si>
  <si>
    <t>ORD-1085</t>
  </si>
  <si>
    <t>ORD-1087</t>
  </si>
  <si>
    <t>ORD-1105</t>
  </si>
  <si>
    <t>ORD-1111</t>
  </si>
  <si>
    <t>ORD-1113</t>
  </si>
  <si>
    <t>ORD-1141</t>
  </si>
  <si>
    <t>ORD-1142</t>
  </si>
  <si>
    <t>ORD-1145</t>
  </si>
  <si>
    <t>ORD-1172</t>
  </si>
  <si>
    <t>ORD-1177</t>
  </si>
  <si>
    <t>ORD-1183</t>
  </si>
  <si>
    <t>ORD-1187</t>
  </si>
  <si>
    <t>ORD-1190</t>
  </si>
  <si>
    <t>ORD-1210</t>
  </si>
  <si>
    <t>ORD-1222</t>
  </si>
  <si>
    <t>ORD-1226</t>
  </si>
  <si>
    <t>ORD-1244</t>
  </si>
  <si>
    <t>ORD-1246</t>
  </si>
  <si>
    <t>ORD-1250</t>
  </si>
  <si>
    <t>ORD-1265</t>
  </si>
  <si>
    <t>ORD-1274</t>
  </si>
  <si>
    <t>ORD-1279</t>
  </si>
  <si>
    <t>ORD-1287</t>
  </si>
  <si>
    <t>ORD-1301</t>
  </si>
  <si>
    <t>ORD-1314</t>
  </si>
  <si>
    <t>ORD-1328</t>
  </si>
  <si>
    <t>ORD-1342</t>
  </si>
  <si>
    <t>ORD-1349</t>
  </si>
  <si>
    <t>ORD-1351</t>
  </si>
  <si>
    <t>ORD-1371</t>
  </si>
  <si>
    <t>ORD-1373</t>
  </si>
  <si>
    <t>ORD-1378</t>
  </si>
  <si>
    <t>ORD-1389</t>
  </si>
  <si>
    <t>ORD-1400</t>
  </si>
  <si>
    <t>ORD-1417</t>
  </si>
  <si>
    <t>ORD-1418</t>
  </si>
  <si>
    <t>ORD-1425</t>
  </si>
  <si>
    <t>ORD-1444</t>
  </si>
  <si>
    <t>ORD-1453</t>
  </si>
  <si>
    <t>ORD-1458</t>
  </si>
  <si>
    <t>ORD-1467</t>
  </si>
  <si>
    <t>ORD-1471</t>
  </si>
  <si>
    <t>ORD-1475</t>
  </si>
  <si>
    <t>ORD-1476</t>
  </si>
  <si>
    <t>ORD-1481</t>
  </si>
  <si>
    <t>ORD-1483</t>
  </si>
  <si>
    <t>ORD-1501</t>
  </si>
  <si>
    <t>ORD-1510</t>
  </si>
  <si>
    <t>ORD-1513</t>
  </si>
  <si>
    <t>ORD-1537</t>
  </si>
  <si>
    <t>ORD-1544</t>
  </si>
  <si>
    <t>ORD-1570</t>
  </si>
  <si>
    <t>ORD-1577</t>
  </si>
  <si>
    <t>ORD-1581</t>
  </si>
  <si>
    <t>ORD-1586</t>
  </si>
  <si>
    <t>ORD-1612</t>
  </si>
  <si>
    <t>ORD-1613</t>
  </si>
  <si>
    <t>ORD-1620</t>
  </si>
  <si>
    <t>ORD-1626</t>
  </si>
  <si>
    <t>ORD-1634</t>
  </si>
  <si>
    <t>ORD-1640</t>
  </si>
  <si>
    <t>ORD-1648</t>
  </si>
  <si>
    <t>ORD-1657</t>
  </si>
  <si>
    <t>ORD-1662</t>
  </si>
  <si>
    <t>ORD-1668</t>
  </si>
  <si>
    <t>ORD-1669</t>
  </si>
  <si>
    <t>ORD-1676</t>
  </si>
  <si>
    <t>ORD-1681</t>
  </si>
  <si>
    <t>ORD-1684</t>
  </si>
  <si>
    <t>ORD-1691</t>
  </si>
  <si>
    <t>ORD-1694</t>
  </si>
  <si>
    <t>ORD-1703</t>
  </si>
  <si>
    <t>ORD-1709</t>
  </si>
  <si>
    <t>ORD-1710</t>
  </si>
  <si>
    <t>ORD-1722</t>
  </si>
  <si>
    <t>ORD-1733</t>
  </si>
  <si>
    <t>ORD-1736</t>
  </si>
  <si>
    <t>ORD-1750</t>
  </si>
  <si>
    <t>ORD-1762</t>
  </si>
  <si>
    <t>ORD-1777</t>
  </si>
  <si>
    <t>ORD-1789</t>
  </si>
  <si>
    <t>ORD-1796</t>
  </si>
  <si>
    <t>ORD-1798</t>
  </si>
  <si>
    <t>ORD-1800</t>
  </si>
  <si>
    <t>ORD-1808</t>
  </si>
  <si>
    <t>ORD-1811</t>
  </si>
  <si>
    <t>ORD-1813</t>
  </si>
  <si>
    <t>ORD-1815</t>
  </si>
  <si>
    <t>ORD-1827</t>
  </si>
  <si>
    <t>ORD-1834</t>
  </si>
  <si>
    <t>ORD-1836</t>
  </si>
  <si>
    <t>ORD-1837</t>
  </si>
  <si>
    <t>ORD-1840</t>
  </si>
  <si>
    <t>ORD-1847</t>
  </si>
  <si>
    <t>ORD-1866</t>
  </si>
  <si>
    <t>ORD-1867</t>
  </si>
  <si>
    <t>ORD-1888</t>
  </si>
  <si>
    <t>ORD-1890</t>
  </si>
  <si>
    <t>ORD-1920</t>
  </si>
  <si>
    <t>ORD-1922</t>
  </si>
  <si>
    <t>ORD-1924</t>
  </si>
  <si>
    <t>ORD-1938</t>
  </si>
  <si>
    <t>ORD-1941</t>
  </si>
  <si>
    <t>ORD-1943</t>
  </si>
  <si>
    <t>ORD-1952</t>
  </si>
  <si>
    <t>ORD-1963</t>
  </si>
  <si>
    <t>ORD-1965</t>
  </si>
  <si>
    <t>ORD-1969</t>
  </si>
  <si>
    <t>ORD-1970</t>
  </si>
  <si>
    <t>ORD-1971</t>
  </si>
  <si>
    <t>ORD-1982</t>
  </si>
  <si>
    <t>ORD-1995</t>
  </si>
  <si>
    <t>ORD-1010</t>
  </si>
  <si>
    <t>P-001</t>
  </si>
  <si>
    <t>Silk_Carpet_Elite</t>
  </si>
  <si>
    <t>ORD-1043</t>
  </si>
  <si>
    <t>ORD-1065</t>
  </si>
  <si>
    <t>ORD-1079</t>
  </si>
  <si>
    <t>ORD-1083</t>
  </si>
  <si>
    <t>ORD-1084</t>
  </si>
  <si>
    <t>ORD-1092</t>
  </si>
  <si>
    <t>ORD-1103</t>
  </si>
  <si>
    <t>ORD-1109</t>
  </si>
  <si>
    <t>ORD-1110</t>
  </si>
  <si>
    <t>ORD-1133</t>
  </si>
  <si>
    <t>ORD-1154</t>
  </si>
  <si>
    <t>ORD-1164</t>
  </si>
  <si>
    <t>ORD-1165</t>
  </si>
  <si>
    <t>ORD-1199</t>
  </si>
  <si>
    <t>ORD-1203</t>
  </si>
  <si>
    <t>ORD-1212</t>
  </si>
  <si>
    <t>ORD-1218</t>
  </si>
  <si>
    <t>ORD-1224</t>
  </si>
  <si>
    <t>ORD-1225</t>
  </si>
  <si>
    <t>ORD-1228</t>
  </si>
  <si>
    <t>ORD-1236</t>
  </si>
  <si>
    <t>ORD-1270</t>
  </si>
  <si>
    <t>ORD-1273</t>
  </si>
  <si>
    <t>ORD-1288</t>
  </si>
  <si>
    <t>ORD-1303</t>
  </si>
  <si>
    <t>ORD-1307</t>
  </si>
  <si>
    <t>ORD-1310</t>
  </si>
  <si>
    <t>ORD-1311</t>
  </si>
  <si>
    <t>ORD-1318</t>
  </si>
  <si>
    <t>ORD-1327</t>
  </si>
  <si>
    <t>ORD-1330</t>
  </si>
  <si>
    <t>ORD-1331</t>
  </si>
  <si>
    <t>ORD-1338</t>
  </si>
  <si>
    <t>ORD-1345</t>
  </si>
  <si>
    <t>ORD-1354</t>
  </si>
  <si>
    <t>ORD-1356</t>
  </si>
  <si>
    <t>ORD-1360</t>
  </si>
  <si>
    <t>ORD-1363</t>
  </si>
  <si>
    <t>ORD-1372</t>
  </si>
  <si>
    <t>ORD-1381</t>
  </si>
  <si>
    <t>ORD-1383</t>
  </si>
  <si>
    <t>ORD-1385</t>
  </si>
  <si>
    <t>ORD-1399</t>
  </si>
  <si>
    <t>ORD-1416</t>
  </si>
  <si>
    <t>ORD-1426</t>
  </si>
  <si>
    <t>ORD-1429</t>
  </si>
  <si>
    <t>ORD-1438</t>
  </si>
  <si>
    <t>ORD-1442</t>
  </si>
  <si>
    <t>ORD-1449</t>
  </si>
  <si>
    <t>ORD-1457</t>
  </si>
  <si>
    <t>ORD-1461</t>
  </si>
  <si>
    <t>ORD-1462</t>
  </si>
  <si>
    <t>ORD-1466</t>
  </si>
  <si>
    <t>ORD-1470</t>
  </si>
  <si>
    <t>ORD-1472</t>
  </si>
  <si>
    <t>ORD-1497</t>
  </si>
  <si>
    <t>ORD-1504</t>
  </si>
  <si>
    <t>ORD-1509</t>
  </si>
  <si>
    <t>ORD-1524</t>
  </si>
  <si>
    <t>ORD-1530</t>
  </si>
  <si>
    <t>ORD-1555</t>
  </si>
  <si>
    <t>ORD-1565</t>
  </si>
  <si>
    <t>ORD-1566</t>
  </si>
  <si>
    <t>ORD-1571</t>
  </si>
  <si>
    <t>ORD-1582</t>
  </si>
  <si>
    <t>ORD-1598</t>
  </si>
  <si>
    <t>ORD-1601</t>
  </si>
  <si>
    <t>ORD-1606</t>
  </si>
  <si>
    <t>ORD-1609</t>
  </si>
  <si>
    <t>ORD-1619</t>
  </si>
  <si>
    <t>ORD-1621</t>
  </si>
  <si>
    <t>ORD-1629</t>
  </si>
  <si>
    <t>ORD-1631</t>
  </si>
  <si>
    <t>ORD-1671</t>
  </si>
  <si>
    <t>ORD-1686</t>
  </si>
  <si>
    <t>ORD-1723</t>
  </si>
  <si>
    <t>ORD-1726</t>
  </si>
  <si>
    <t>ORD-1730</t>
  </si>
  <si>
    <t>ORD-1756</t>
  </si>
  <si>
    <t>ORD-1757</t>
  </si>
  <si>
    <t>ORD-1766</t>
  </si>
  <si>
    <t>ORD-1778</t>
  </si>
  <si>
    <t>ORD-1782</t>
  </si>
  <si>
    <t>ORD-1785</t>
  </si>
  <si>
    <t>ORD-1788</t>
  </si>
  <si>
    <t>ORD-1793</t>
  </si>
  <si>
    <t>ORD-1799</t>
  </si>
  <si>
    <t>ORD-1810</t>
  </si>
  <si>
    <t>ORD-1812</t>
  </si>
  <si>
    <t>ORD-1821</t>
  </si>
  <si>
    <t>ORD-1824</t>
  </si>
  <si>
    <t>ORD-1833</t>
  </si>
  <si>
    <t>ORD-1846</t>
  </si>
  <si>
    <t>ORD-1851</t>
  </si>
  <si>
    <t>ORD-1861</t>
  </si>
  <si>
    <t>ORD-1863</t>
  </si>
  <si>
    <t>ORD-1865</t>
  </si>
  <si>
    <t>ORD-1869</t>
  </si>
  <si>
    <t>ORD-1874</t>
  </si>
  <si>
    <t>ORD-1877</t>
  </si>
  <si>
    <t>ORD-1881</t>
  </si>
  <si>
    <t>ORD-1908</t>
  </si>
  <si>
    <t>ORD-1912</t>
  </si>
  <si>
    <t>ORD-1946</t>
  </si>
  <si>
    <t>ORD-1966</t>
  </si>
  <si>
    <t>ORD-1972</t>
  </si>
  <si>
    <t>ORD-1978</t>
  </si>
  <si>
    <t>ORD-1983</t>
  </si>
  <si>
    <t>ORD-1989</t>
  </si>
  <si>
    <t>ORD-1990</t>
  </si>
  <si>
    <t>ORD-1004</t>
  </si>
  <si>
    <t>ORD-1008</t>
  </si>
  <si>
    <t>ORD-1020</t>
  </si>
  <si>
    <t>ORD-1022</t>
  </si>
  <si>
    <t>ORD-1027</t>
  </si>
  <si>
    <t>ORD-1030</t>
  </si>
  <si>
    <t>ORD-1040</t>
  </si>
  <si>
    <t>ORD-1061</t>
  </si>
  <si>
    <t>ORD-1064</t>
  </si>
  <si>
    <t>ORD-1077</t>
  </si>
  <si>
    <t>ORD-1080</t>
  </si>
  <si>
    <t>ORD-1082</t>
  </si>
  <si>
    <t>ORD-1086</t>
  </si>
  <si>
    <t>ORD-1088</t>
  </si>
  <si>
    <t>ORD-1090</t>
  </si>
  <si>
    <t>ORD-1099</t>
  </si>
  <si>
    <t>ORD-1124</t>
  </si>
  <si>
    <t>ORD-1125</t>
  </si>
  <si>
    <t>ORD-1127</t>
  </si>
  <si>
    <t>ORD-1128</t>
  </si>
  <si>
    <t>ORD-1130</t>
  </si>
  <si>
    <t>ORD-1137</t>
  </si>
  <si>
    <t>ORD-1171</t>
  </si>
  <si>
    <t>ORD-1220</t>
  </si>
  <si>
    <t>ORD-1223</t>
  </si>
  <si>
    <t>ORD-1227</t>
  </si>
  <si>
    <t>ORD-1229</t>
  </si>
  <si>
    <t>ORD-1237</t>
  </si>
  <si>
    <t>ORD-1239</t>
  </si>
  <si>
    <t>ORD-1245</t>
  </si>
  <si>
    <t>ORD-1249</t>
  </si>
  <si>
    <t>ORD-1254</t>
  </si>
  <si>
    <t>ORD-1259</t>
  </si>
  <si>
    <t>ORD-1261</t>
  </si>
  <si>
    <t>ORD-1280</t>
  </si>
  <si>
    <t>ORD-1294</t>
  </si>
  <si>
    <t>ORD-1337</t>
  </si>
  <si>
    <t>ORD-1353</t>
  </si>
  <si>
    <t>ORD-1369</t>
  </si>
  <si>
    <t>ORD-1394</t>
  </si>
  <si>
    <t>ORD-1447</t>
  </si>
  <si>
    <t>ORD-1464</t>
  </si>
  <si>
    <t>ORD-1477</t>
  </si>
  <si>
    <t>ORD-1484</t>
  </si>
  <si>
    <t>ORD-1489</t>
  </si>
  <si>
    <t>ORD-1498</t>
  </si>
  <si>
    <t>ORD-1507</t>
  </si>
  <si>
    <t>ORD-1512</t>
  </si>
  <si>
    <t>ORD-1514</t>
  </si>
  <si>
    <t>ORD-1521</t>
  </si>
  <si>
    <t>ORD-1549</t>
  </si>
  <si>
    <t>ORD-1563</t>
  </si>
  <si>
    <t>ORD-1576</t>
  </si>
  <si>
    <t>ORD-1578</t>
  </si>
  <si>
    <t>ORD-1608</t>
  </si>
  <si>
    <t>ORD-1635</t>
  </si>
  <si>
    <t>ORD-1663</t>
  </si>
  <si>
    <t>ORD-1672</t>
  </si>
  <si>
    <t>ORD-1673</t>
  </si>
  <si>
    <t>ORD-1682</t>
  </si>
  <si>
    <t>ORD-1690</t>
  </si>
  <si>
    <t>ORD-1696</t>
  </si>
  <si>
    <t>ORD-1698</t>
  </si>
  <si>
    <t>ORD-1701</t>
  </si>
  <si>
    <t>ORD-1716</t>
  </si>
  <si>
    <t>ORD-1719</t>
  </si>
  <si>
    <t>ORD-1727</t>
  </si>
  <si>
    <t>ORD-1734</t>
  </si>
  <si>
    <t>ORD-1741</t>
  </si>
  <si>
    <t>ORD-1744</t>
  </si>
  <si>
    <t>ORD-1753</t>
  </si>
  <si>
    <t>ORD-1758</t>
  </si>
  <si>
    <t>ORD-1759</t>
  </si>
  <si>
    <t>ORD-1761</t>
  </si>
  <si>
    <t>ORD-1794</t>
  </si>
  <si>
    <t>ORD-1801</t>
  </si>
  <si>
    <t>ORD-1804</t>
  </si>
  <si>
    <t>ORD-1805</t>
  </si>
  <si>
    <t>ORD-1809</t>
  </si>
  <si>
    <t>ORD-1820</t>
  </si>
  <si>
    <t>ORD-1848</t>
  </si>
  <si>
    <t>ORD-1855</t>
  </si>
  <si>
    <t>ORD-1870</t>
  </si>
  <si>
    <t>ORD-1873</t>
  </si>
  <si>
    <t>ORD-1876</t>
  </si>
  <si>
    <t>ORD-1879</t>
  </si>
  <si>
    <t>ORD-1885</t>
  </si>
  <si>
    <t>ORD-1887</t>
  </si>
  <si>
    <t>ORD-1895</t>
  </si>
  <si>
    <t>ORD-1897</t>
  </si>
  <si>
    <t>ORD-1901</t>
  </si>
  <si>
    <t>ORD-1921</t>
  </si>
  <si>
    <t>ORD-1933</t>
  </si>
  <si>
    <t>ORD-1940</t>
  </si>
  <si>
    <t>ORD-1948</t>
  </si>
  <si>
    <t>ORD-1949</t>
  </si>
  <si>
    <t>ORD-1951</t>
  </si>
  <si>
    <t>ORD-1958</t>
  </si>
  <si>
    <t>ORD-1961</t>
  </si>
  <si>
    <t>ORD-1994</t>
  </si>
  <si>
    <t>ORD-1012</t>
  </si>
  <si>
    <t>ORD-1013</t>
  </si>
  <si>
    <t>ORD-1031</t>
  </si>
  <si>
    <t>ORD-1051</t>
  </si>
  <si>
    <t>ORD-1062</t>
  </si>
  <si>
    <t>ORD-1074</t>
  </si>
  <si>
    <t>ORD-1096</t>
  </si>
  <si>
    <t>ORD-1101</t>
  </si>
  <si>
    <t>ORD-1102</t>
  </si>
  <si>
    <t>ORD-1116</t>
  </si>
  <si>
    <t>ORD-1147</t>
  </si>
  <si>
    <t>ORD-1148</t>
  </si>
  <si>
    <t>ORD-1149</t>
  </si>
  <si>
    <t>ORD-1162</t>
  </si>
  <si>
    <t>ORD-1180</t>
  </si>
  <si>
    <t>ORD-1191</t>
  </si>
  <si>
    <t>ORD-1201</t>
  </si>
  <si>
    <t>ORD-1213</t>
  </si>
  <si>
    <t>ORD-1214</t>
  </si>
  <si>
    <t>ORD-1252</t>
  </si>
  <si>
    <t>ORD-1255</t>
  </si>
  <si>
    <t>ORD-1256</t>
  </si>
  <si>
    <t>ORD-1262</t>
  </si>
  <si>
    <t>ORD-1263</t>
  </si>
  <si>
    <t>ORD-1267</t>
  </si>
  <si>
    <t>ORD-1268</t>
  </si>
  <si>
    <t>ORD-1283</t>
  </si>
  <si>
    <t>ORD-1286</t>
  </si>
  <si>
    <t>ORD-1292</t>
  </si>
  <si>
    <t>ORD-1319</t>
  </si>
  <si>
    <t>ORD-1325</t>
  </si>
  <si>
    <t>ORD-1329</t>
  </si>
  <si>
    <t>ORD-1332</t>
  </si>
  <si>
    <t>ORD-1335</t>
  </si>
  <si>
    <t>ORD-1380</t>
  </si>
  <si>
    <t>ORD-1396</t>
  </si>
  <si>
    <t>ORD-1409</t>
  </si>
  <si>
    <t>ORD-1411</t>
  </si>
  <si>
    <t>ORD-1413</t>
  </si>
  <si>
    <t>ORD-1436</t>
  </si>
  <si>
    <t>ORD-1479</t>
  </si>
  <si>
    <t>ORD-1487</t>
  </si>
  <si>
    <t>ORD-1488</t>
  </si>
  <si>
    <t>ORD-1494</t>
  </si>
  <si>
    <t>ORD-1515</t>
  </si>
  <si>
    <t>ORD-1519</t>
  </si>
  <si>
    <t>ORD-1525</t>
  </si>
  <si>
    <t>ORD-1527</t>
  </si>
  <si>
    <t>ORD-1529</t>
  </si>
  <si>
    <t>ORD-1547</t>
  </si>
  <si>
    <t>ORD-1551</t>
  </si>
  <si>
    <t>ORD-1558</t>
  </si>
  <si>
    <t>ORD-1564</t>
  </si>
  <si>
    <t>ORD-1569</t>
  </si>
  <si>
    <t>ORD-1584</t>
  </si>
  <si>
    <t>ORD-1625</t>
  </si>
  <si>
    <t>ORD-1636</t>
  </si>
  <si>
    <t>ORD-1650</t>
  </si>
  <si>
    <t>ORD-1675</t>
  </si>
  <si>
    <t>ORD-1687</t>
  </si>
  <si>
    <t>ORD-1695</t>
  </si>
  <si>
    <t>ORD-1712</t>
  </si>
  <si>
    <t>ORD-1729</t>
  </si>
  <si>
    <t>ORD-1740</t>
  </si>
  <si>
    <t>ORD-1754</t>
  </si>
  <si>
    <t>ORD-1764</t>
  </si>
  <si>
    <t>ORD-1770</t>
  </si>
  <si>
    <t>ORD-1797</t>
  </si>
  <si>
    <t>ORD-1819</t>
  </si>
  <si>
    <t>ORD-1831</t>
  </si>
  <si>
    <t>ORD-1844</t>
  </si>
  <si>
    <t>ORD-1860</t>
  </si>
  <si>
    <t>ORD-1882</t>
  </si>
  <si>
    <t>ORD-1883</t>
  </si>
  <si>
    <t>ORD-1907</t>
  </si>
  <si>
    <t>ORD-1911</t>
  </si>
  <si>
    <t>ORD-1915</t>
  </si>
  <si>
    <t>ORD-1917</t>
  </si>
  <si>
    <t>ORD-1918</t>
  </si>
  <si>
    <t>ORD-1930</t>
  </si>
  <si>
    <t>ORD-1937</t>
  </si>
  <si>
    <t>ORD-1954</t>
  </si>
  <si>
    <t>ORD-1956</t>
  </si>
  <si>
    <t>ORD-1960</t>
  </si>
  <si>
    <t>ORD-1977</t>
  </si>
  <si>
    <t>ORD-1984</t>
  </si>
  <si>
    <t>ORD-1991</t>
  </si>
  <si>
    <t>Row Labels</t>
  </si>
  <si>
    <t>Grand Total</t>
  </si>
  <si>
    <t>Sum of Net Profit</t>
  </si>
  <si>
    <t>Sum of Gross revenue</t>
  </si>
  <si>
    <t>Profit Margin</t>
  </si>
  <si>
    <t>Sum of Profit Margin%</t>
  </si>
  <si>
    <t xml:space="preserve"> Customs Expenses</t>
  </si>
  <si>
    <t xml:space="preserve"> Shipping Costs</t>
  </si>
  <si>
    <t xml:space="preserve"> Cost Of Good Sold</t>
  </si>
  <si>
    <t xml:space="preserve"> Logistics_cost_To_COGS_pct</t>
  </si>
  <si>
    <t xml:space="preserve"> Actual_Net_Profit</t>
  </si>
  <si>
    <t xml:space="preserve"> Actual_Net_Profit_Margin_pct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</si>
</sst>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0" fontId="1" fillId="0" borderId="0" xfId="0" applyNumberFormat="1" applyFont="1" applyAlignment="1">
      <alignment horizontal="center"/>
    </xf>
    <xf numFmtId="164" fontId="1" fillId="0" borderId="0" xfId="0" applyNumberFormat="1" applyFont="1"/>
    <xf numFmtId="165" fontId="1" fillId="0" borderId="0" xfId="0" applyNumberFormat="1" applyFont="1"/>
    <xf numFmtId="3" fontId="0" fillId="0" borderId="0" xfId="0" applyNumberFormat="1"/>
  </cellXfs>
  <cellStyles count="1">
    <cellStyle name="Normal" xfId="0" builtinId="0"/>
  </cellStyles>
  <dxfs count="30">
    <dxf>
      <numFmt numFmtId="164" formatCode="&quot;$&quot;#,##0"/>
    </dxf>
    <dxf>
      <numFmt numFmtId="14" formatCode="0.00%"/>
    </dxf>
    <dxf>
      <numFmt numFmtId="14" formatCode="0.00%"/>
    </dxf>
    <dxf>
      <numFmt numFmtId="14" formatCode="0.00%"/>
    </dxf>
    <dxf>
      <numFmt numFmtId="164" formatCode="&quot;$&quot;#,##0"/>
    </dxf>
    <dxf>
      <numFmt numFmtId="14" formatCode="0.00%"/>
    </dxf>
    <dxf>
      <numFmt numFmtId="14" formatCode="0.00%"/>
    </dxf>
    <dxf>
      <numFmt numFmtId="14" formatCode="0.00%"/>
    </dxf>
    <dxf>
      <numFmt numFmtId="14" formatCode="0.00%"/>
    </dxf>
    <dxf>
      <numFmt numFmtId="164" formatCode="&quot;$&quot;#,##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3" formatCode="#,##0"/>
    </dxf>
    <dxf>
      <numFmt numFmtId="3" formatCode="#,##0"/>
    </dxf>
    <dxf>
      <numFmt numFmtId="164" formatCode="&quot;$&quot;#,##0"/>
    </dxf>
    <dxf>
      <numFmt numFmtId="14" formatCode="0.00%"/>
    </dxf>
    <dxf>
      <numFmt numFmtId="14" formatCode="0.00%"/>
    </dxf>
    <dxf>
      <numFmt numFmtId="164" formatCode="&quot;$&quot;#,##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[nglobal.xlsx]Sheet2!PivotTable3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77620957757618E-2"/>
          <c:y val="5.0985117625468319E-2"/>
          <c:w val="0.6900961865060985"/>
          <c:h val="0.88187130081152654"/>
        </c:manualLayout>
      </c:layout>
      <c:barChart>
        <c:barDir val="col"/>
        <c:grouping val="clustered"/>
        <c:varyColors val="0"/>
        <c:ser>
          <c:idx val="0"/>
          <c:order val="0"/>
          <c:tx>
            <c:strRef>
              <c:f>Sheet2!$E$19</c:f>
              <c:strCache>
                <c:ptCount val="1"/>
                <c:pt idx="0">
                  <c:v> Cost Of Good Sold</c:v>
                </c:pt>
              </c:strCache>
            </c:strRef>
          </c:tx>
          <c:spPr>
            <a:solidFill>
              <a:schemeClr val="accent1"/>
            </a:solidFill>
            <a:ln>
              <a:noFill/>
            </a:ln>
            <a:effectLst/>
          </c:spPr>
          <c:invertIfNegative val="0"/>
          <c:cat>
            <c:strRef>
              <c:f>Sheet2!$D$20:$D$23</c:f>
              <c:strCache>
                <c:ptCount val="3"/>
                <c:pt idx="0">
                  <c:v>Dubai</c:v>
                </c:pt>
                <c:pt idx="1">
                  <c:v>London</c:v>
                </c:pt>
                <c:pt idx="2">
                  <c:v>New_York</c:v>
                </c:pt>
              </c:strCache>
            </c:strRef>
          </c:cat>
          <c:val>
            <c:numRef>
              <c:f>Sheet2!$E$20:$E$23</c:f>
              <c:numCache>
                <c:formatCode>"$"#,##0</c:formatCode>
                <c:ptCount val="3"/>
                <c:pt idx="0">
                  <c:v>3725845</c:v>
                </c:pt>
                <c:pt idx="1">
                  <c:v>4084055</c:v>
                </c:pt>
                <c:pt idx="2">
                  <c:v>4145975</c:v>
                </c:pt>
              </c:numCache>
            </c:numRef>
          </c:val>
          <c:extLst>
            <c:ext xmlns:c16="http://schemas.microsoft.com/office/drawing/2014/chart" uri="{C3380CC4-5D6E-409C-BE32-E72D297353CC}">
              <c16:uniqueId val="{00000000-265A-41BE-8186-B782676C7F24}"/>
            </c:ext>
          </c:extLst>
        </c:ser>
        <c:ser>
          <c:idx val="1"/>
          <c:order val="1"/>
          <c:tx>
            <c:strRef>
              <c:f>Sheet2!$F$19</c:f>
              <c:strCache>
                <c:ptCount val="1"/>
                <c:pt idx="0">
                  <c:v> Shipping Costs</c:v>
                </c:pt>
              </c:strCache>
            </c:strRef>
          </c:tx>
          <c:spPr>
            <a:solidFill>
              <a:schemeClr val="accent2"/>
            </a:solidFill>
            <a:ln>
              <a:noFill/>
            </a:ln>
            <a:effectLst/>
          </c:spPr>
          <c:invertIfNegative val="0"/>
          <c:cat>
            <c:strRef>
              <c:f>Sheet2!$D$20:$D$23</c:f>
              <c:strCache>
                <c:ptCount val="3"/>
                <c:pt idx="0">
                  <c:v>Dubai</c:v>
                </c:pt>
                <c:pt idx="1">
                  <c:v>London</c:v>
                </c:pt>
                <c:pt idx="2">
                  <c:v>New_York</c:v>
                </c:pt>
              </c:strCache>
            </c:strRef>
          </c:cat>
          <c:val>
            <c:numRef>
              <c:f>Sheet2!$F$20:$F$23</c:f>
              <c:numCache>
                <c:formatCode>"$"#,##0</c:formatCode>
                <c:ptCount val="3"/>
                <c:pt idx="0">
                  <c:v>434806.79999999987</c:v>
                </c:pt>
                <c:pt idx="1">
                  <c:v>1148624.0399999998</c:v>
                </c:pt>
                <c:pt idx="2">
                  <c:v>1450145.4000000001</c:v>
                </c:pt>
              </c:numCache>
            </c:numRef>
          </c:val>
          <c:extLst>
            <c:ext xmlns:c16="http://schemas.microsoft.com/office/drawing/2014/chart" uri="{C3380CC4-5D6E-409C-BE32-E72D297353CC}">
              <c16:uniqueId val="{00000001-265A-41BE-8186-B782676C7F24}"/>
            </c:ext>
          </c:extLst>
        </c:ser>
        <c:ser>
          <c:idx val="2"/>
          <c:order val="2"/>
          <c:tx>
            <c:strRef>
              <c:f>Sheet2!$G$19</c:f>
              <c:strCache>
                <c:ptCount val="1"/>
                <c:pt idx="0">
                  <c:v> Customs Expenses</c:v>
                </c:pt>
              </c:strCache>
            </c:strRef>
          </c:tx>
          <c:spPr>
            <a:solidFill>
              <a:schemeClr val="accent3"/>
            </a:solidFill>
            <a:ln>
              <a:noFill/>
            </a:ln>
            <a:effectLst/>
          </c:spPr>
          <c:invertIfNegative val="0"/>
          <c:cat>
            <c:strRef>
              <c:f>Sheet2!$D$20:$D$23</c:f>
              <c:strCache>
                <c:ptCount val="3"/>
                <c:pt idx="0">
                  <c:v>Dubai</c:v>
                </c:pt>
                <c:pt idx="1">
                  <c:v>London</c:v>
                </c:pt>
                <c:pt idx="2">
                  <c:v>New_York</c:v>
                </c:pt>
              </c:strCache>
            </c:strRef>
          </c:cat>
          <c:val>
            <c:numRef>
              <c:f>Sheet2!$G$20:$G$23</c:f>
              <c:numCache>
                <c:formatCode>"$"#,##0</c:formatCode>
                <c:ptCount val="3"/>
                <c:pt idx="0">
                  <c:v>434811</c:v>
                </c:pt>
                <c:pt idx="1">
                  <c:v>1148634</c:v>
                </c:pt>
                <c:pt idx="2">
                  <c:v>1450147</c:v>
                </c:pt>
              </c:numCache>
            </c:numRef>
          </c:val>
          <c:extLst>
            <c:ext xmlns:c16="http://schemas.microsoft.com/office/drawing/2014/chart" uri="{C3380CC4-5D6E-409C-BE32-E72D297353CC}">
              <c16:uniqueId val="{00000002-265A-41BE-8186-B782676C7F24}"/>
            </c:ext>
          </c:extLst>
        </c:ser>
        <c:ser>
          <c:idx val="3"/>
          <c:order val="3"/>
          <c:tx>
            <c:strRef>
              <c:f>Sheet2!$H$19</c:f>
              <c:strCache>
                <c:ptCount val="1"/>
                <c:pt idx="0">
                  <c:v> Logistics_cost_To_COGS_pct</c:v>
                </c:pt>
              </c:strCache>
            </c:strRef>
          </c:tx>
          <c:spPr>
            <a:solidFill>
              <a:schemeClr val="accent4"/>
            </a:solidFill>
            <a:ln>
              <a:noFill/>
            </a:ln>
            <a:effectLst/>
          </c:spPr>
          <c:invertIfNegative val="0"/>
          <c:cat>
            <c:strRef>
              <c:f>Sheet2!$D$20:$D$23</c:f>
              <c:strCache>
                <c:ptCount val="3"/>
                <c:pt idx="0">
                  <c:v>Dubai</c:v>
                </c:pt>
                <c:pt idx="1">
                  <c:v>London</c:v>
                </c:pt>
                <c:pt idx="2">
                  <c:v>New_York</c:v>
                </c:pt>
              </c:strCache>
            </c:strRef>
          </c:cat>
          <c:val>
            <c:numRef>
              <c:f>Sheet2!$H$20:$H$23</c:f>
              <c:numCache>
                <c:formatCode>0.00%</c:formatCode>
                <c:ptCount val="3"/>
                <c:pt idx="0">
                  <c:v>0.23340149684165601</c:v>
                </c:pt>
                <c:pt idx="1">
                  <c:v>0.5624943934398533</c:v>
                </c:pt>
                <c:pt idx="2">
                  <c:v>0.6995441120604925</c:v>
                </c:pt>
              </c:numCache>
            </c:numRef>
          </c:val>
          <c:extLst>
            <c:ext xmlns:c16="http://schemas.microsoft.com/office/drawing/2014/chart" uri="{C3380CC4-5D6E-409C-BE32-E72D297353CC}">
              <c16:uniqueId val="{00000000-632E-429B-BBE0-F1B30B39B4AC}"/>
            </c:ext>
          </c:extLst>
        </c:ser>
        <c:ser>
          <c:idx val="4"/>
          <c:order val="4"/>
          <c:tx>
            <c:strRef>
              <c:f>Sheet2!$I$19</c:f>
              <c:strCache>
                <c:ptCount val="1"/>
                <c:pt idx="0">
                  <c:v> Actual_Net_Profit</c:v>
                </c:pt>
              </c:strCache>
            </c:strRef>
          </c:tx>
          <c:spPr>
            <a:solidFill>
              <a:schemeClr val="accent5"/>
            </a:solidFill>
            <a:ln>
              <a:noFill/>
            </a:ln>
            <a:effectLst/>
          </c:spPr>
          <c:invertIfNegative val="0"/>
          <c:cat>
            <c:strRef>
              <c:f>Sheet2!$D$20:$D$23</c:f>
              <c:strCache>
                <c:ptCount val="3"/>
                <c:pt idx="0">
                  <c:v>Dubai</c:v>
                </c:pt>
                <c:pt idx="1">
                  <c:v>London</c:v>
                </c:pt>
                <c:pt idx="2">
                  <c:v>New_York</c:v>
                </c:pt>
              </c:strCache>
            </c:strRef>
          </c:cat>
          <c:val>
            <c:numRef>
              <c:f>Sheet2!$I$20:$I$23</c:f>
              <c:numCache>
                <c:formatCode>"$"#,##0</c:formatCode>
                <c:ptCount val="3"/>
                <c:pt idx="0">
                  <c:v>4100673.2</c:v>
                </c:pt>
                <c:pt idx="1">
                  <c:v>3190553.96</c:v>
                </c:pt>
                <c:pt idx="2">
                  <c:v>2621368.5999999996</c:v>
                </c:pt>
              </c:numCache>
            </c:numRef>
          </c:val>
          <c:extLst>
            <c:ext xmlns:c16="http://schemas.microsoft.com/office/drawing/2014/chart" uri="{C3380CC4-5D6E-409C-BE32-E72D297353CC}">
              <c16:uniqueId val="{00000002-632E-429B-BBE0-F1B30B39B4AC}"/>
            </c:ext>
          </c:extLst>
        </c:ser>
        <c:ser>
          <c:idx val="5"/>
          <c:order val="5"/>
          <c:tx>
            <c:strRef>
              <c:f>Sheet2!$J$19</c:f>
              <c:strCache>
                <c:ptCount val="1"/>
                <c:pt idx="0">
                  <c:v> Actual_Net_Profit_Margin_pct</c:v>
                </c:pt>
              </c:strCache>
            </c:strRef>
          </c:tx>
          <c:spPr>
            <a:solidFill>
              <a:schemeClr val="accent6"/>
            </a:solidFill>
            <a:ln>
              <a:noFill/>
            </a:ln>
            <a:effectLst/>
          </c:spPr>
          <c:invertIfNegative val="0"/>
          <c:cat>
            <c:strRef>
              <c:f>Sheet2!$D$20:$D$23</c:f>
              <c:strCache>
                <c:ptCount val="3"/>
                <c:pt idx="0">
                  <c:v>Dubai</c:v>
                </c:pt>
                <c:pt idx="1">
                  <c:v>London</c:v>
                </c:pt>
                <c:pt idx="2">
                  <c:v>New_York</c:v>
                </c:pt>
              </c:strCache>
            </c:strRef>
          </c:cat>
          <c:val>
            <c:numRef>
              <c:f>Sheet2!$J$20:$J$23</c:f>
              <c:numCache>
                <c:formatCode>0.00%</c:formatCode>
                <c:ptCount val="3"/>
                <c:pt idx="0">
                  <c:v>0.4715511808922952</c:v>
                </c:pt>
                <c:pt idx="1">
                  <c:v>0.3333261901779454</c:v>
                </c:pt>
                <c:pt idx="2">
                  <c:v>0.27114887238203833</c:v>
                </c:pt>
              </c:numCache>
            </c:numRef>
          </c:val>
          <c:extLst>
            <c:ext xmlns:c16="http://schemas.microsoft.com/office/drawing/2014/chart" uri="{C3380CC4-5D6E-409C-BE32-E72D297353CC}">
              <c16:uniqueId val="{00000003-632E-429B-BBE0-F1B30B39B4AC}"/>
            </c:ext>
          </c:extLst>
        </c:ser>
        <c:dLbls>
          <c:showLegendKey val="0"/>
          <c:showVal val="0"/>
          <c:showCatName val="0"/>
          <c:showSerName val="0"/>
          <c:showPercent val="0"/>
          <c:showBubbleSize val="0"/>
        </c:dLbls>
        <c:gapWidth val="219"/>
        <c:overlap val="-27"/>
        <c:axId val="570745872"/>
        <c:axId val="570744072"/>
      </c:barChart>
      <c:catAx>
        <c:axId val="57074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44072"/>
        <c:crosses val="autoZero"/>
        <c:auto val="1"/>
        <c:lblAlgn val="ctr"/>
        <c:lblOffset val="100"/>
        <c:noMultiLvlLbl val="0"/>
      </c:catAx>
      <c:valAx>
        <c:axId val="570744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4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[nglobal.xlsx]Sheet2!city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Profit</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24878042077201"/>
          <c:y val="0.21248233838611583"/>
          <c:w val="0.70215026246719159"/>
          <c:h val="0.72088764946048411"/>
        </c:manualLayout>
      </c:layout>
      <c:barChart>
        <c:barDir val="col"/>
        <c:grouping val="clustered"/>
        <c:varyColors val="0"/>
        <c:ser>
          <c:idx val="0"/>
          <c:order val="0"/>
          <c:tx>
            <c:strRef>
              <c:f>Sheet2!$B$3</c:f>
              <c:strCache>
                <c:ptCount val="1"/>
                <c:pt idx="0">
                  <c:v>Total</c:v>
                </c:pt>
              </c:strCache>
            </c:strRef>
          </c:tx>
          <c:spPr>
            <a:solidFill>
              <a:schemeClr val="bg1">
                <a:lumMod val="50000"/>
              </a:schemeClr>
            </a:solidFill>
            <a:ln>
              <a:noFill/>
            </a:ln>
            <a:effectLst/>
          </c:spPr>
          <c:invertIfNegative val="0"/>
          <c:cat>
            <c:strRef>
              <c:f>Sheet2!$A$4:$A$7</c:f>
              <c:strCache>
                <c:ptCount val="3"/>
                <c:pt idx="0">
                  <c:v>Dubai</c:v>
                </c:pt>
                <c:pt idx="1">
                  <c:v>London</c:v>
                </c:pt>
                <c:pt idx="2">
                  <c:v>New_York</c:v>
                </c:pt>
              </c:strCache>
            </c:strRef>
          </c:cat>
          <c:val>
            <c:numRef>
              <c:f>Sheet2!$B$4:$B$7</c:f>
              <c:numCache>
                <c:formatCode>#,##0</c:formatCode>
                <c:ptCount val="3"/>
                <c:pt idx="0">
                  <c:v>4100673.2</c:v>
                </c:pt>
                <c:pt idx="1">
                  <c:v>3190553.9600000009</c:v>
                </c:pt>
                <c:pt idx="2">
                  <c:v>2621368.600000001</c:v>
                </c:pt>
              </c:numCache>
            </c:numRef>
          </c:val>
          <c:extLst>
            <c:ext xmlns:c16="http://schemas.microsoft.com/office/drawing/2014/chart" uri="{C3380CC4-5D6E-409C-BE32-E72D297353CC}">
              <c16:uniqueId val="{00000000-DFBA-4C11-9775-C8149CCB77F7}"/>
            </c:ext>
          </c:extLst>
        </c:ser>
        <c:dLbls>
          <c:showLegendKey val="0"/>
          <c:showVal val="0"/>
          <c:showCatName val="0"/>
          <c:showSerName val="0"/>
          <c:showPercent val="0"/>
          <c:showBubbleSize val="0"/>
        </c:dLbls>
        <c:gapWidth val="100"/>
        <c:overlap val="-27"/>
        <c:axId val="1796051103"/>
        <c:axId val="1796053983"/>
      </c:barChart>
      <c:catAx>
        <c:axId val="179605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6053983"/>
        <c:crosses val="autoZero"/>
        <c:auto val="1"/>
        <c:lblAlgn val="ctr"/>
        <c:lblOffset val="100"/>
        <c:noMultiLvlLbl val="0"/>
      </c:catAx>
      <c:valAx>
        <c:axId val="1796053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60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[nglobal.xlsx]Sheet2!product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Profit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c:f>
              <c:strCache>
                <c:ptCount val="1"/>
                <c:pt idx="0">
                  <c:v>Total</c:v>
                </c:pt>
              </c:strCache>
            </c:strRef>
          </c:tx>
          <c:spPr>
            <a:solidFill>
              <a:schemeClr val="bg1">
                <a:lumMod val="50000"/>
              </a:schemeClr>
            </a:solidFill>
            <a:ln>
              <a:noFill/>
            </a:ln>
            <a:effectLst/>
          </c:spPr>
          <c:invertIfNegative val="0"/>
          <c:cat>
            <c:strRef>
              <c:f>Sheet2!$I$4:$I$7</c:f>
              <c:strCache>
                <c:ptCount val="3"/>
                <c:pt idx="0">
                  <c:v>Classic_Office_Mat</c:v>
                </c:pt>
                <c:pt idx="1">
                  <c:v>Modern_Wool_Rug</c:v>
                </c:pt>
                <c:pt idx="2">
                  <c:v>Silk_Carpet_Elite</c:v>
                </c:pt>
              </c:strCache>
            </c:strRef>
          </c:cat>
          <c:val>
            <c:numRef>
              <c:f>Sheet2!$J$4:$J$7</c:f>
              <c:numCache>
                <c:formatCode>#,##0</c:formatCode>
                <c:ptCount val="3"/>
                <c:pt idx="0">
                  <c:v>1692766.629999999</c:v>
                </c:pt>
                <c:pt idx="1">
                  <c:v>3511147.8000000007</c:v>
                </c:pt>
                <c:pt idx="2">
                  <c:v>4708681.330000001</c:v>
                </c:pt>
              </c:numCache>
            </c:numRef>
          </c:val>
          <c:extLst>
            <c:ext xmlns:c16="http://schemas.microsoft.com/office/drawing/2014/chart" uri="{C3380CC4-5D6E-409C-BE32-E72D297353CC}">
              <c16:uniqueId val="{00000000-4D4F-4376-A683-98F105EA9DC5}"/>
            </c:ext>
          </c:extLst>
        </c:ser>
        <c:dLbls>
          <c:showLegendKey val="0"/>
          <c:showVal val="0"/>
          <c:showCatName val="0"/>
          <c:showSerName val="0"/>
          <c:showPercent val="0"/>
          <c:showBubbleSize val="0"/>
        </c:dLbls>
        <c:gapWidth val="100"/>
        <c:axId val="1796062623"/>
        <c:axId val="1796063103"/>
      </c:barChart>
      <c:catAx>
        <c:axId val="179606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96063103"/>
        <c:crosses val="autoZero"/>
        <c:auto val="1"/>
        <c:lblAlgn val="ctr"/>
        <c:lblOffset val="100"/>
        <c:noMultiLvlLbl val="0"/>
      </c:catAx>
      <c:valAx>
        <c:axId val="17960631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606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504825</xdr:colOff>
      <xdr:row>29</xdr:row>
      <xdr:rowOff>66675</xdr:rowOff>
    </xdr:from>
    <xdr:to>
      <xdr:col>13</xdr:col>
      <xdr:colOff>66675</xdr:colOff>
      <xdr:row>48</xdr:row>
      <xdr:rowOff>57150</xdr:rowOff>
    </xdr:to>
    <xdr:graphicFrame macro="">
      <xdr:nvGraphicFramePr>
        <xdr:cNvPr id="2" name="Chart 1">
          <a:extLst>
            <a:ext uri="{FF2B5EF4-FFF2-40B4-BE49-F238E27FC236}">
              <a16:creationId xmlns:a16="http://schemas.microsoft.com/office/drawing/2014/main" id="{0D45F05A-2791-FE70-4DA5-5EC2691A9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25400</xdr:rowOff>
    </xdr:from>
    <xdr:to>
      <xdr:col>11</xdr:col>
      <xdr:colOff>571500</xdr:colOff>
      <xdr:row>39</xdr:row>
      <xdr:rowOff>0</xdr:rowOff>
    </xdr:to>
    <xdr:graphicFrame macro="">
      <xdr:nvGraphicFramePr>
        <xdr:cNvPr id="2" name="Chart 1">
          <a:extLst>
            <a:ext uri="{FF2B5EF4-FFF2-40B4-BE49-F238E27FC236}">
              <a16:creationId xmlns:a16="http://schemas.microsoft.com/office/drawing/2014/main" id="{A0417AC1-DF96-4B7A-9361-A12B913FE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152401</xdr:colOff>
      <xdr:row>18</xdr:row>
      <xdr:rowOff>63500</xdr:rowOff>
    </xdr:from>
    <xdr:to>
      <xdr:col>25</xdr:col>
      <xdr:colOff>542925</xdr:colOff>
      <xdr:row>39</xdr:row>
      <xdr:rowOff>0</xdr:rowOff>
    </xdr:to>
    <xdr:graphicFrame macro="">
      <xdr:nvGraphicFramePr>
        <xdr:cNvPr id="3" name="Chart 2">
          <a:extLst>
            <a:ext uri="{FF2B5EF4-FFF2-40B4-BE49-F238E27FC236}">
              <a16:creationId xmlns:a16="http://schemas.microsoft.com/office/drawing/2014/main" id="{69E79B0D-4CE7-4F9A-BE61-22109E143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10</xdr:row>
      <xdr:rowOff>47624</xdr:rowOff>
    </xdr:from>
    <xdr:to>
      <xdr:col>8</xdr:col>
      <xdr:colOff>133350</xdr:colOff>
      <xdr:row>18</xdr:row>
      <xdr:rowOff>12699</xdr:rowOff>
    </xdr:to>
    <mc:AlternateContent xmlns:mc="http://schemas.openxmlformats.org/markup-compatibility/2006" xmlns:a14="http://schemas.microsoft.com/office/drawing/2010/main">
      <mc:Choice Requires="a14">
        <xdr:graphicFrame macro="">
          <xdr:nvGraphicFramePr>
            <xdr:cNvPr id="4" name="Product_Name">
              <a:extLst>
                <a:ext uri="{FF2B5EF4-FFF2-40B4-BE49-F238E27FC236}">
                  <a16:creationId xmlns:a16="http://schemas.microsoft.com/office/drawing/2014/main" id="{5D18D95D-4E69-D2F5-9EDF-D1F8300C6E2A}"/>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0" y="1952624"/>
              <a:ext cx="5010150" cy="1489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152399</xdr:colOff>
      <xdr:row>10</xdr:row>
      <xdr:rowOff>57150</xdr:rowOff>
    </xdr:from>
    <xdr:to>
      <xdr:col>16</xdr:col>
      <xdr:colOff>561975</xdr:colOff>
      <xdr:row>18</xdr:row>
      <xdr:rowOff>38100</xdr:rowOff>
    </xdr:to>
    <mc:AlternateContent xmlns:mc="http://schemas.openxmlformats.org/markup-compatibility/2006" xmlns:a14="http://schemas.microsoft.com/office/drawing/2010/main">
      <mc:Choice Requires="a14">
        <xdr:graphicFrame macro="">
          <xdr:nvGraphicFramePr>
            <xdr:cNvPr id="5" name="Branch_City">
              <a:extLst>
                <a:ext uri="{FF2B5EF4-FFF2-40B4-BE49-F238E27FC236}">
                  <a16:creationId xmlns:a16="http://schemas.microsoft.com/office/drawing/2014/main" id="{828DACD2-FC50-3CC4-6E27-97F22CD0624E}"/>
                </a:ext>
              </a:extLst>
            </xdr:cNvPr>
            <xdr:cNvGraphicFramePr/>
          </xdr:nvGraphicFramePr>
          <xdr:xfrm>
            <a:off x="0" y="0"/>
            <a:ext cx="0" cy="0"/>
          </xdr:xfrm>
          <a:graphic>
            <a:graphicData uri="http://schemas.microsoft.com/office/drawing/2010/slicer">
              <sle:slicer xmlns:sle="http://schemas.microsoft.com/office/drawing/2010/slicer" name="Branch_City"/>
            </a:graphicData>
          </a:graphic>
        </xdr:graphicFrame>
      </mc:Choice>
      <mc:Fallback xmlns="">
        <xdr:sp macro="" textlink="">
          <xdr:nvSpPr>
            <xdr:cNvPr id="0" name=""/>
            <xdr:cNvSpPr>
              <a:spLocks noTextEdit="1"/>
            </xdr:cNvSpPr>
          </xdr:nvSpPr>
          <xdr:spPr>
            <a:xfrm>
              <a:off x="5029199" y="1962150"/>
              <a:ext cx="5286376"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10</xdr:row>
      <xdr:rowOff>38100</xdr:rowOff>
    </xdr:from>
    <xdr:to>
      <xdr:col>25</xdr:col>
      <xdr:colOff>533399</xdr:colOff>
      <xdr:row>18</xdr:row>
      <xdr:rowOff>25399</xdr:rowOff>
    </xdr:to>
    <mc:AlternateContent xmlns:mc="http://schemas.openxmlformats.org/markup-compatibility/2006" xmlns:a14="http://schemas.microsoft.com/office/drawing/2010/main">
      <mc:Choice Requires="a14">
        <xdr:graphicFrame macro="">
          <xdr:nvGraphicFramePr>
            <xdr:cNvPr id="6" name="Customer_Tier">
              <a:extLst>
                <a:ext uri="{FF2B5EF4-FFF2-40B4-BE49-F238E27FC236}">
                  <a16:creationId xmlns:a16="http://schemas.microsoft.com/office/drawing/2014/main" id="{024F56D9-C971-B4D4-93D5-6446E78939F4}"/>
                </a:ext>
              </a:extLst>
            </xdr:cNvPr>
            <xdr:cNvGraphicFramePr/>
          </xdr:nvGraphicFramePr>
          <xdr:xfrm>
            <a:off x="0" y="0"/>
            <a:ext cx="0" cy="0"/>
          </xdr:xfrm>
          <a:graphic>
            <a:graphicData uri="http://schemas.microsoft.com/office/drawing/2010/slicer">
              <sle:slicer xmlns:sle="http://schemas.microsoft.com/office/drawing/2010/slicer" name="Customer_Tier"/>
            </a:graphicData>
          </a:graphic>
        </xdr:graphicFrame>
      </mc:Choice>
      <mc:Fallback xmlns="">
        <xdr:sp macro="" textlink="">
          <xdr:nvSpPr>
            <xdr:cNvPr id="0" name=""/>
            <xdr:cNvSpPr>
              <a:spLocks noTextEdit="1"/>
            </xdr:cNvSpPr>
          </xdr:nvSpPr>
          <xdr:spPr>
            <a:xfrm>
              <a:off x="10363200" y="1943100"/>
              <a:ext cx="5410199" cy="1511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76200</xdr:rowOff>
    </xdr:from>
    <xdr:to>
      <xdr:col>6</xdr:col>
      <xdr:colOff>485774</xdr:colOff>
      <xdr:row>5</xdr:row>
      <xdr:rowOff>28575</xdr:rowOff>
    </xdr:to>
    <xdr:grpSp>
      <xdr:nvGrpSpPr>
        <xdr:cNvPr id="9" name="Group 8">
          <a:extLst>
            <a:ext uri="{FF2B5EF4-FFF2-40B4-BE49-F238E27FC236}">
              <a16:creationId xmlns:a16="http://schemas.microsoft.com/office/drawing/2014/main" id="{1C75099B-66C4-FC03-4D93-CCDABA9DBCD5}"/>
            </a:ext>
          </a:extLst>
        </xdr:cNvPr>
        <xdr:cNvGrpSpPr/>
      </xdr:nvGrpSpPr>
      <xdr:grpSpPr>
        <a:xfrm>
          <a:off x="0" y="76200"/>
          <a:ext cx="4143374" cy="904875"/>
          <a:chOff x="0" y="27773"/>
          <a:chExt cx="2447924" cy="923925"/>
        </a:xfrm>
      </xdr:grpSpPr>
      <xdr:sp macro="" textlink="">
        <xdr:nvSpPr>
          <xdr:cNvPr id="7" name="Oval 6">
            <a:extLst>
              <a:ext uri="{FF2B5EF4-FFF2-40B4-BE49-F238E27FC236}">
                <a16:creationId xmlns:a16="http://schemas.microsoft.com/office/drawing/2014/main" id="{932312AA-8BFC-511C-DB88-E77BBBBBA77C}"/>
              </a:ext>
            </a:extLst>
          </xdr:cNvPr>
          <xdr:cNvSpPr/>
        </xdr:nvSpPr>
        <xdr:spPr>
          <a:xfrm>
            <a:off x="0" y="27773"/>
            <a:ext cx="2447924" cy="923925"/>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600" b="1">
                <a:solidFill>
                  <a:schemeClr val="bg1"/>
                </a:solidFill>
              </a:rPr>
              <a:t>Total Net Profit</a:t>
            </a:r>
          </a:p>
          <a:p>
            <a:pPr algn="ctr"/>
            <a:endParaRPr lang="en-US" sz="1400" b="1">
              <a:solidFill>
                <a:schemeClr val="tx1"/>
              </a:solidFill>
            </a:endParaRPr>
          </a:p>
          <a:p>
            <a:pPr algn="ctr"/>
            <a:endParaRPr lang="en-US" sz="1400" b="1">
              <a:solidFill>
                <a:schemeClr val="tx1"/>
              </a:solidFill>
            </a:endParaRPr>
          </a:p>
        </xdr:txBody>
      </xdr:sp>
      <xdr:sp macro="" textlink="Sheet2!D4">
        <xdr:nvSpPr>
          <xdr:cNvPr id="8" name="Rectangle 7">
            <a:extLst>
              <a:ext uri="{FF2B5EF4-FFF2-40B4-BE49-F238E27FC236}">
                <a16:creationId xmlns:a16="http://schemas.microsoft.com/office/drawing/2014/main" id="{7C8875D2-1591-AC24-24C5-646022EC4FFB}"/>
              </a:ext>
            </a:extLst>
          </xdr:cNvPr>
          <xdr:cNvSpPr/>
        </xdr:nvSpPr>
        <xdr:spPr>
          <a:xfrm>
            <a:off x="466725" y="438149"/>
            <a:ext cx="1581150" cy="426019"/>
          </a:xfrm>
          <a:prstGeom prst="round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D33116-3D65-470F-A8B5-C408227E0AA9}" type="TxLink">
              <a:rPr lang="en-US" sz="2000" b="1" i="0" u="none" strike="noStrike">
                <a:solidFill>
                  <a:schemeClr val="bg1"/>
                </a:solidFill>
                <a:latin typeface="Calibri"/>
                <a:ea typeface="Calibri"/>
                <a:cs typeface="Calibri"/>
              </a:rPr>
              <a:pPr algn="ctr"/>
              <a:t>$9,912,595.76</a:t>
            </a:fld>
            <a:endParaRPr lang="en-US" sz="1600">
              <a:solidFill>
                <a:schemeClr val="bg1"/>
              </a:solidFill>
            </a:endParaRPr>
          </a:p>
        </xdr:txBody>
      </xdr:sp>
    </xdr:grpSp>
    <xdr:clientData/>
  </xdr:twoCellAnchor>
  <xdr:twoCellAnchor>
    <xdr:from>
      <xdr:col>7</xdr:col>
      <xdr:colOff>550717</xdr:colOff>
      <xdr:row>0</xdr:row>
      <xdr:rowOff>76200</xdr:rowOff>
    </xdr:from>
    <xdr:to>
      <xdr:col>16</xdr:col>
      <xdr:colOff>1730</xdr:colOff>
      <xdr:row>5</xdr:row>
      <xdr:rowOff>28575</xdr:rowOff>
    </xdr:to>
    <xdr:grpSp>
      <xdr:nvGrpSpPr>
        <xdr:cNvPr id="13" name="Group 12">
          <a:extLst>
            <a:ext uri="{FF2B5EF4-FFF2-40B4-BE49-F238E27FC236}">
              <a16:creationId xmlns:a16="http://schemas.microsoft.com/office/drawing/2014/main" id="{1E927ED6-0701-4542-9764-DD7ECD0D460F}"/>
            </a:ext>
          </a:extLst>
        </xdr:cNvPr>
        <xdr:cNvGrpSpPr/>
      </xdr:nvGrpSpPr>
      <xdr:grpSpPr>
        <a:xfrm>
          <a:off x="4817917" y="76200"/>
          <a:ext cx="4937413" cy="904875"/>
          <a:chOff x="-1" y="66675"/>
          <a:chExt cx="2486025" cy="923925"/>
        </a:xfrm>
        <a:solidFill>
          <a:schemeClr val="bg1">
            <a:lumMod val="65000"/>
          </a:schemeClr>
        </a:solidFill>
      </xdr:grpSpPr>
      <xdr:sp macro="" textlink="">
        <xdr:nvSpPr>
          <xdr:cNvPr id="14" name="Oval 13">
            <a:extLst>
              <a:ext uri="{FF2B5EF4-FFF2-40B4-BE49-F238E27FC236}">
                <a16:creationId xmlns:a16="http://schemas.microsoft.com/office/drawing/2014/main" id="{D76EDC19-7CD9-5854-BF63-96D3EA69C7DD}"/>
              </a:ext>
            </a:extLst>
          </xdr:cNvPr>
          <xdr:cNvSpPr/>
        </xdr:nvSpPr>
        <xdr:spPr>
          <a:xfrm>
            <a:off x="-1" y="66675"/>
            <a:ext cx="2486025" cy="923925"/>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 Revenue</a:t>
            </a:r>
          </a:p>
        </xdr:txBody>
      </xdr:sp>
      <xdr:sp macro="" textlink="Sheet2!D5">
        <xdr:nvSpPr>
          <xdr:cNvPr id="15" name="Rectangle 14">
            <a:extLst>
              <a:ext uri="{FF2B5EF4-FFF2-40B4-BE49-F238E27FC236}">
                <a16:creationId xmlns:a16="http://schemas.microsoft.com/office/drawing/2014/main" id="{A11D0685-6AB7-C137-8F95-636B3AFC2A0F}"/>
              </a:ext>
            </a:extLst>
          </xdr:cNvPr>
          <xdr:cNvSpPr/>
        </xdr:nvSpPr>
        <xdr:spPr>
          <a:xfrm>
            <a:off x="437929" y="477051"/>
            <a:ext cx="1587364" cy="474647"/>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208DE85-7DBC-4C4C-B962-4AC1DD3E010F}" type="TxLink">
              <a:rPr lang="en-US" sz="2000" b="1" i="0" u="none" strike="noStrike">
                <a:solidFill>
                  <a:schemeClr val="bg1"/>
                </a:solidFill>
                <a:latin typeface="Calibri"/>
                <a:ea typeface="Calibri"/>
                <a:cs typeface="Calibri"/>
              </a:rPr>
              <a:pPr algn="ctr"/>
              <a:t>$29,610,160</a:t>
            </a:fld>
            <a:endParaRPr lang="en-US" sz="1600">
              <a:solidFill>
                <a:schemeClr val="bg1"/>
              </a:solidFill>
            </a:endParaRPr>
          </a:p>
        </xdr:txBody>
      </xdr:sp>
    </xdr:grpSp>
    <xdr:clientData/>
  </xdr:twoCellAnchor>
  <xdr:twoCellAnchor>
    <xdr:from>
      <xdr:col>17</xdr:col>
      <xdr:colOff>66674</xdr:colOff>
      <xdr:row>0</xdr:row>
      <xdr:rowOff>76200</xdr:rowOff>
    </xdr:from>
    <xdr:to>
      <xdr:col>25</xdr:col>
      <xdr:colOff>476249</xdr:colOff>
      <xdr:row>5</xdr:row>
      <xdr:rowOff>28575</xdr:rowOff>
    </xdr:to>
    <xdr:grpSp>
      <xdr:nvGrpSpPr>
        <xdr:cNvPr id="19" name="Group 18">
          <a:extLst>
            <a:ext uri="{FF2B5EF4-FFF2-40B4-BE49-F238E27FC236}">
              <a16:creationId xmlns:a16="http://schemas.microsoft.com/office/drawing/2014/main" id="{EE2F32C1-49D9-4735-9FCE-A3240630743A}"/>
            </a:ext>
          </a:extLst>
        </xdr:cNvPr>
        <xdr:cNvGrpSpPr/>
      </xdr:nvGrpSpPr>
      <xdr:grpSpPr>
        <a:xfrm>
          <a:off x="10429874" y="76200"/>
          <a:ext cx="5286375" cy="904875"/>
          <a:chOff x="-120721" y="56950"/>
          <a:chExt cx="2447924" cy="923925"/>
        </a:xfrm>
      </xdr:grpSpPr>
      <xdr:sp macro="" textlink="">
        <xdr:nvSpPr>
          <xdr:cNvPr id="20" name="Oval 19">
            <a:extLst>
              <a:ext uri="{FF2B5EF4-FFF2-40B4-BE49-F238E27FC236}">
                <a16:creationId xmlns:a16="http://schemas.microsoft.com/office/drawing/2014/main" id="{DAC21E27-ACC4-084D-A05F-10314CCB26E5}"/>
              </a:ext>
            </a:extLst>
          </xdr:cNvPr>
          <xdr:cNvSpPr/>
        </xdr:nvSpPr>
        <xdr:spPr>
          <a:xfrm>
            <a:off x="-120721" y="56950"/>
            <a:ext cx="2447924" cy="923925"/>
          </a:xfrm>
          <a:prstGeom prst="round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Profit Margin</a:t>
            </a:r>
          </a:p>
          <a:p>
            <a:pPr algn="ctr"/>
            <a:endParaRPr lang="en-US" sz="1400" b="1">
              <a:solidFill>
                <a:schemeClr val="tx1"/>
              </a:solidFill>
            </a:endParaRPr>
          </a:p>
          <a:p>
            <a:pPr algn="ctr"/>
            <a:endParaRPr lang="en-US" sz="1400" b="1">
              <a:solidFill>
                <a:schemeClr val="bg1"/>
              </a:solidFill>
            </a:endParaRPr>
          </a:p>
        </xdr:txBody>
      </xdr:sp>
      <xdr:sp macro="" textlink="Sheet2!D6">
        <xdr:nvSpPr>
          <xdr:cNvPr id="21" name="Rectangle 20">
            <a:extLst>
              <a:ext uri="{FF2B5EF4-FFF2-40B4-BE49-F238E27FC236}">
                <a16:creationId xmlns:a16="http://schemas.microsoft.com/office/drawing/2014/main" id="{E14A157C-2945-34F2-F67A-C6C66ACC834E}"/>
              </a:ext>
            </a:extLst>
          </xdr:cNvPr>
          <xdr:cNvSpPr/>
        </xdr:nvSpPr>
        <xdr:spPr>
          <a:xfrm>
            <a:off x="352047" y="418697"/>
            <a:ext cx="1587017" cy="4746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CE301D3-7D8A-4E0E-B42E-6DA08C3B005F}" type="TxLink">
              <a:rPr lang="en-US" sz="2000" b="1" i="0" u="none" strike="noStrike">
                <a:solidFill>
                  <a:schemeClr val="bg1"/>
                </a:solidFill>
                <a:latin typeface="Calibri"/>
                <a:ea typeface="Calibri"/>
                <a:cs typeface="Calibri"/>
              </a:rPr>
              <a:pPr algn="ctr"/>
              <a:t>35.48%</a:t>
            </a:fld>
            <a:endParaRPr lang="en-US" sz="1600">
              <a:solidFill>
                <a:schemeClr val="bg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Hamdy" refreshedDate="46160.384899999997" createdVersion="8" refreshedVersion="8" minRefreshableVersion="3" recordCount="1000" xr:uid="{148EB6F2-1F86-4766-97CE-C994402231FF}">
  <cacheSource type="worksheet">
    <worksheetSource name="Fact_Sales"/>
  </cacheSource>
  <cacheFields count="26">
    <cacheField name="Order_ID" numFmtId="0">
      <sharedItems/>
    </cacheField>
    <cacheField name="Date" numFmtId="22">
      <sharedItems containsSemiMixedTypes="0" containsNonDate="0" containsDate="1" containsString="0" minDate="2026-05-01T00:00:00" maxDate="2026-06-11T15:00:00"/>
    </cacheField>
    <cacheField name="Product_ID" numFmtId="0">
      <sharedItems/>
    </cacheField>
    <cacheField name="Branch_ID" numFmtId="0">
      <sharedItems/>
    </cacheField>
    <cacheField name="Customer_Tier" numFmtId="0">
      <sharedItems count="3">
        <s v="C"/>
        <s v="A"/>
        <s v="B"/>
      </sharedItems>
    </cacheField>
    <cacheField name="Quantity" numFmtId="0">
      <sharedItems containsSemiMixedTypes="0" containsString="0" containsNumber="1" containsInteger="1" minValue="10" maxValue="199"/>
    </cacheField>
    <cacheField name="Product_Name" numFmtId="0">
      <sharedItems count="3">
        <s v="Classic_Office_Mat"/>
        <s v="Modern_Wool_Rug"/>
        <s v="Silk_Carpet_Elite"/>
      </sharedItems>
    </cacheField>
    <cacheField name="Unit_Price" numFmtId="0">
      <sharedItems containsSemiMixedTypes="0" containsString="0" containsNumber="1" containsInteger="1" minValue="150" maxValue="450"/>
    </cacheField>
    <cacheField name="Std_Cost" numFmtId="0">
      <sharedItems containsSemiMixedTypes="0" containsString="0" containsNumber="1" containsInteger="1" minValue="65" maxValue="180"/>
    </cacheField>
    <cacheField name="Weight_KG" numFmtId="0">
      <sharedItems containsSemiMixedTypes="0" containsString="0" containsNumber="1" minValue="1.8" maxValue="3.5"/>
    </cacheField>
    <cacheField name="Branch_City" numFmtId="0">
      <sharedItems count="3">
        <s v="Dubai"/>
        <s v="New_York"/>
        <s v="London"/>
      </sharedItems>
    </cacheField>
    <cacheField name="Ship_Rate_Per_KG" numFmtId="0">
      <sharedItems containsSemiMixedTypes="0" containsString="0" containsNumber="1" minValue="4.5" maxValue="12.5"/>
    </cacheField>
    <cacheField name="Customs_Rate" numFmtId="0">
      <sharedItems containsSemiMixedTypes="0" containsString="0" containsNumber="1" minValue="0.05" maxValue="0.15"/>
    </cacheField>
    <cacheField name="Discount_Rate" numFmtId="0">
      <sharedItems containsSemiMixedTypes="0" containsString="0" containsNumber="1" minValue="0.02" maxValue="0.1"/>
    </cacheField>
    <cacheField name="Gross revenue" numFmtId="0">
      <sharedItems containsSemiMixedTypes="0" containsString="0" containsNumber="1" containsInteger="1" minValue="1500" maxValue="89550"/>
    </cacheField>
    <cacheField name="Net Sales" numFmtId="0">
      <sharedItems containsSemiMixedTypes="0" containsString="0" containsNumber="1" containsInteger="1" minValue="1425" maxValue="87759"/>
    </cacheField>
    <cacheField name="Total Weight" numFmtId="0">
      <sharedItems containsSemiMixedTypes="0" containsString="0" containsNumber="1" minValue="18" maxValue="696.5"/>
    </cacheField>
    <cacheField name="Shipping Costs" numFmtId="0">
      <sharedItems containsSemiMixedTypes="0" containsString="0" containsNumber="1" minValue="87.75" maxValue="13163.85"/>
    </cacheField>
    <cacheField name="Customs Expenses" numFmtId="0">
      <sharedItems containsSemiMixedTypes="0" containsString="0" containsNumber="1" containsInteger="1" minValue="88" maxValue="13164"/>
    </cacheField>
    <cacheField name="Cost Of Good Sold" numFmtId="0">
      <sharedItems containsSemiMixedTypes="0" containsString="0" containsNumber="1" containsInteger="1" minValue="650" maxValue="35820"/>
    </cacheField>
    <cacheField name="Net Profit" numFmtId="0">
      <sharedItems containsSemiMixedTypes="0" containsString="0" containsNumber="1" minValue="347.25" maxValue="41427.449999999997"/>
    </cacheField>
    <cacheField name="Profit Margin" numFmtId="10">
      <sharedItems containsSemiMixedTypes="0" containsString="0" containsNumber="1" minValue="0.21843800322061199" maxValue="0.49919526267840902"/>
    </cacheField>
    <cacheField name="Profit Margin%" numFmtId="0" formula="'Net Profit'/'Net Sales'" databaseField="0"/>
    <cacheField name="Logistics_cost_To_COGS_pct" numFmtId="0" formula=" ('Customs Expenses' +'Shipping Costs' )/'Cost Of Good Sold'" databaseField="0"/>
    <cacheField name="Actual_Net_Profit" numFmtId="0" formula="'Net Sales' -('Cost Of Good Sold' +'Customs Expenses' +'Shipping Costs' )" databaseField="0"/>
    <cacheField name="Actual_Net_Profit_Margin_pct" numFmtId="0" formula="Actual_Net_Profit /'Net Sales'" databaseField="0"/>
  </cacheFields>
  <extLst>
    <ext xmlns:x14="http://schemas.microsoft.com/office/spreadsheetml/2009/9/main" uri="{725AE2AE-9491-48be-B2B4-4EB974FC3084}">
      <x14:pivotCacheDefinition pivotCacheId="663724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3"/>
    <d v="2026-05-01T03:00:00"/>
    <s v="P-003"/>
    <s v="BR-10"/>
    <x v="0"/>
    <n v="106"/>
    <x v="0"/>
    <n v="150"/>
    <n v="65"/>
    <n v="1.8"/>
    <x v="0"/>
    <n v="4.5"/>
    <n v="0.05"/>
    <n v="0.02"/>
    <n v="15900"/>
    <n v="15582"/>
    <n v="190.8"/>
    <n v="779.1"/>
    <n v="779"/>
    <n v="6890"/>
    <n v="7133.9"/>
    <n v="0.45782954691310501"/>
  </r>
  <r>
    <s v="ORD-1005"/>
    <d v="2026-05-01T05:00:00"/>
    <s v="P-003"/>
    <s v="BR-10"/>
    <x v="0"/>
    <n v="26"/>
    <x v="0"/>
    <n v="150"/>
    <n v="65"/>
    <n v="1.8"/>
    <x v="0"/>
    <n v="4.5"/>
    <n v="0.05"/>
    <n v="0.02"/>
    <n v="3900"/>
    <n v="3822"/>
    <n v="46.800000000000004"/>
    <n v="191.10000000000002"/>
    <n v="191"/>
    <n v="1690"/>
    <n v="1749.9"/>
    <n v="0.45784929356357901"/>
  </r>
  <r>
    <s v="ORD-1006"/>
    <d v="2026-05-01T06:00:00"/>
    <s v="P-003"/>
    <s v="BR-10"/>
    <x v="1"/>
    <n v="55"/>
    <x v="0"/>
    <n v="150"/>
    <n v="65"/>
    <n v="1.8"/>
    <x v="0"/>
    <n v="4.5"/>
    <n v="0.05"/>
    <n v="0.1"/>
    <n v="8250"/>
    <n v="7425"/>
    <n v="99"/>
    <n v="371.25"/>
    <n v="371"/>
    <n v="3575"/>
    <n v="3107.75"/>
    <n v="0.41855218855218901"/>
  </r>
  <r>
    <s v="ORD-1011"/>
    <d v="2026-05-01T11:00:00"/>
    <s v="P-003"/>
    <s v="BR-10"/>
    <x v="1"/>
    <n v="67"/>
    <x v="0"/>
    <n v="150"/>
    <n v="65"/>
    <n v="1.8"/>
    <x v="0"/>
    <n v="4.5"/>
    <n v="0.05"/>
    <n v="0.1"/>
    <n v="10050"/>
    <n v="9045"/>
    <n v="120.60000000000001"/>
    <n v="452.25"/>
    <n v="452"/>
    <n v="4355"/>
    <n v="3785.75"/>
    <n v="0.41854615809839701"/>
  </r>
  <r>
    <s v="ORD-1017"/>
    <d v="2026-05-01T17:00:00"/>
    <s v="P-003"/>
    <s v="BR-10"/>
    <x v="2"/>
    <n v="54"/>
    <x v="0"/>
    <n v="150"/>
    <n v="65"/>
    <n v="1.8"/>
    <x v="0"/>
    <n v="4.5"/>
    <n v="0.05"/>
    <n v="0.05"/>
    <n v="8100"/>
    <n v="7695"/>
    <n v="97.2"/>
    <n v="384.75"/>
    <n v="385"/>
    <n v="3510"/>
    <n v="3415.25"/>
    <n v="0.44382716049382698"/>
  </r>
  <r>
    <s v="ORD-1032"/>
    <d v="2026-05-02T08:00:00"/>
    <s v="P-003"/>
    <s v="BR-10"/>
    <x v="0"/>
    <n v="15"/>
    <x v="0"/>
    <n v="150"/>
    <n v="65"/>
    <n v="1.8"/>
    <x v="0"/>
    <n v="4.5"/>
    <n v="0.05"/>
    <n v="0.02"/>
    <n v="2250"/>
    <n v="2205"/>
    <n v="27"/>
    <n v="110.25"/>
    <n v="110"/>
    <n v="975"/>
    <n v="1009.75"/>
    <n v="0.45793650793650797"/>
  </r>
  <r>
    <s v="ORD-1035"/>
    <d v="2026-05-02T11:00:00"/>
    <s v="P-003"/>
    <s v="BR-10"/>
    <x v="1"/>
    <n v="146"/>
    <x v="0"/>
    <n v="150"/>
    <n v="65"/>
    <n v="1.8"/>
    <x v="0"/>
    <n v="4.5"/>
    <n v="0.05"/>
    <n v="0.1"/>
    <n v="21900"/>
    <n v="19710"/>
    <n v="262.8"/>
    <n v="985.5"/>
    <n v="986"/>
    <n v="9490"/>
    <n v="8248.5"/>
    <n v="0.41849315068493198"/>
  </r>
  <r>
    <s v="ORD-1036"/>
    <d v="2026-05-02T12:00:00"/>
    <s v="P-003"/>
    <s v="BR-10"/>
    <x v="0"/>
    <n v="103"/>
    <x v="0"/>
    <n v="150"/>
    <n v="65"/>
    <n v="1.8"/>
    <x v="0"/>
    <n v="4.5"/>
    <n v="0.05"/>
    <n v="0.02"/>
    <n v="15450"/>
    <n v="15141"/>
    <n v="185.4"/>
    <n v="757.05000000000007"/>
    <n v="757"/>
    <n v="6695"/>
    <n v="6931.9500000000007"/>
    <n v="0.45782643154349101"/>
  </r>
  <r>
    <s v="ORD-1048"/>
    <d v="2026-05-03T00:00:00"/>
    <s v="P-003"/>
    <s v="BR-10"/>
    <x v="1"/>
    <n v="191"/>
    <x v="0"/>
    <n v="150"/>
    <n v="65"/>
    <n v="1.8"/>
    <x v="0"/>
    <n v="4.5"/>
    <n v="0.05"/>
    <n v="0.1"/>
    <n v="28650"/>
    <n v="25785"/>
    <n v="343.8"/>
    <n v="1289.25"/>
    <n v="1289"/>
    <n v="12415"/>
    <n v="10791.75"/>
    <n v="0.41852821407795199"/>
  </r>
  <r>
    <s v="ORD-1052"/>
    <d v="2026-05-03T04:00:00"/>
    <s v="P-003"/>
    <s v="BR-10"/>
    <x v="0"/>
    <n v="28"/>
    <x v="0"/>
    <n v="150"/>
    <n v="65"/>
    <n v="1.8"/>
    <x v="0"/>
    <n v="4.5"/>
    <n v="0.05"/>
    <n v="0.02"/>
    <n v="4200"/>
    <n v="4116"/>
    <n v="50.4"/>
    <n v="205.8"/>
    <n v="206"/>
    <n v="1820"/>
    <n v="1884.1999999999998"/>
    <n v="0.457774538386783"/>
  </r>
  <r>
    <s v="ORD-1054"/>
    <d v="2026-05-03T06:00:00"/>
    <s v="P-003"/>
    <s v="BR-10"/>
    <x v="2"/>
    <n v="14"/>
    <x v="0"/>
    <n v="150"/>
    <n v="65"/>
    <n v="1.8"/>
    <x v="0"/>
    <n v="4.5"/>
    <n v="0.05"/>
    <n v="0.05"/>
    <n v="2100"/>
    <n v="1995"/>
    <n v="25.2"/>
    <n v="99.75"/>
    <n v="100"/>
    <n v="910"/>
    <n v="885.25"/>
    <n v="0.44373433583959898"/>
  </r>
  <r>
    <s v="ORD-1058"/>
    <d v="2026-05-03T10:00:00"/>
    <s v="P-003"/>
    <s v="BR-10"/>
    <x v="0"/>
    <n v="178"/>
    <x v="0"/>
    <n v="150"/>
    <n v="65"/>
    <n v="1.8"/>
    <x v="0"/>
    <n v="4.5"/>
    <n v="0.05"/>
    <n v="0.02"/>
    <n v="26700"/>
    <n v="26166"/>
    <n v="320.40000000000003"/>
    <n v="1308.3000000000002"/>
    <n v="1308"/>
    <n v="11570"/>
    <n v="11979.7"/>
    <n v="0.45783459451196201"/>
  </r>
  <r>
    <s v="ORD-1063"/>
    <d v="2026-05-03T15:00:00"/>
    <s v="P-003"/>
    <s v="BR-10"/>
    <x v="0"/>
    <n v="92"/>
    <x v="0"/>
    <n v="150"/>
    <n v="65"/>
    <n v="1.8"/>
    <x v="0"/>
    <n v="4.5"/>
    <n v="0.05"/>
    <n v="0.02"/>
    <n v="13800"/>
    <n v="13524"/>
    <n v="165.6"/>
    <n v="676.2"/>
    <n v="676"/>
    <n v="5980"/>
    <n v="6191.8"/>
    <n v="0.45783791777580601"/>
  </r>
  <r>
    <s v="ORD-1066"/>
    <d v="2026-05-03T18:00:00"/>
    <s v="P-003"/>
    <s v="BR-10"/>
    <x v="0"/>
    <n v="70"/>
    <x v="0"/>
    <n v="150"/>
    <n v="65"/>
    <n v="1.8"/>
    <x v="0"/>
    <n v="4.5"/>
    <n v="0.05"/>
    <n v="0.02"/>
    <n v="10500"/>
    <n v="10290"/>
    <n v="126"/>
    <n v="514.5"/>
    <n v="514"/>
    <n v="4550"/>
    <n v="4711.5"/>
    <n v="0.45787172011661798"/>
  </r>
  <r>
    <s v="ORD-1076"/>
    <d v="2026-05-04T04:00:00"/>
    <s v="P-003"/>
    <s v="BR-10"/>
    <x v="2"/>
    <n v="50"/>
    <x v="0"/>
    <n v="150"/>
    <n v="65"/>
    <n v="1.8"/>
    <x v="0"/>
    <n v="4.5"/>
    <n v="0.05"/>
    <n v="0.05"/>
    <n v="7500"/>
    <n v="7125"/>
    <n v="90"/>
    <n v="356.25"/>
    <n v="356"/>
    <n v="3250"/>
    <n v="3162.75"/>
    <n v="0.44389473684210501"/>
  </r>
  <r>
    <s v="ORD-1089"/>
    <d v="2026-05-04T17:00:00"/>
    <s v="P-003"/>
    <s v="BR-10"/>
    <x v="1"/>
    <n v="109"/>
    <x v="0"/>
    <n v="150"/>
    <n v="65"/>
    <n v="1.8"/>
    <x v="0"/>
    <n v="4.5"/>
    <n v="0.05"/>
    <n v="0.1"/>
    <n v="16350"/>
    <n v="14715"/>
    <n v="196.20000000000002"/>
    <n v="735.75"/>
    <n v="736"/>
    <n v="7085"/>
    <n v="6158.25"/>
    <n v="0.41850152905198801"/>
  </r>
  <r>
    <s v="ORD-1108"/>
    <d v="2026-05-05T12:00:00"/>
    <s v="P-003"/>
    <s v="BR-10"/>
    <x v="0"/>
    <n v="75"/>
    <x v="0"/>
    <n v="150"/>
    <n v="65"/>
    <n v="1.8"/>
    <x v="0"/>
    <n v="4.5"/>
    <n v="0.05"/>
    <n v="0.02"/>
    <n v="11250"/>
    <n v="11025"/>
    <n v="135"/>
    <n v="551.25"/>
    <n v="551"/>
    <n v="4875"/>
    <n v="5047.75"/>
    <n v="0.45784580498866201"/>
  </r>
  <r>
    <s v="ORD-1118"/>
    <d v="2026-05-05T22:00:00"/>
    <s v="P-003"/>
    <s v="BR-10"/>
    <x v="0"/>
    <n v="114"/>
    <x v="0"/>
    <n v="150"/>
    <n v="65"/>
    <n v="1.8"/>
    <x v="0"/>
    <n v="4.5"/>
    <n v="0.05"/>
    <n v="0.02"/>
    <n v="17100"/>
    <n v="16758"/>
    <n v="205.20000000000002"/>
    <n v="837.90000000000009"/>
    <n v="838"/>
    <n v="7410"/>
    <n v="7672.1"/>
    <n v="0.4578171619525"/>
  </r>
  <r>
    <s v="ORD-1119"/>
    <d v="2026-05-05T23:00:00"/>
    <s v="P-003"/>
    <s v="BR-10"/>
    <x v="2"/>
    <n v="107"/>
    <x v="0"/>
    <n v="150"/>
    <n v="65"/>
    <n v="1.8"/>
    <x v="0"/>
    <n v="4.5"/>
    <n v="0.05"/>
    <n v="0.05"/>
    <n v="16050"/>
    <n v="15248"/>
    <n v="192.6"/>
    <n v="762.40000000000009"/>
    <n v="762"/>
    <n v="6955"/>
    <n v="6768.6"/>
    <n v="0.44390083945435499"/>
  </r>
  <r>
    <s v="ORD-1122"/>
    <d v="2026-05-06T02:00:00"/>
    <s v="P-003"/>
    <s v="BR-10"/>
    <x v="0"/>
    <n v="113"/>
    <x v="0"/>
    <n v="150"/>
    <n v="65"/>
    <n v="1.8"/>
    <x v="0"/>
    <n v="4.5"/>
    <n v="0.05"/>
    <n v="0.02"/>
    <n v="16950"/>
    <n v="16611"/>
    <n v="203.4"/>
    <n v="830.55000000000007"/>
    <n v="831"/>
    <n v="7345"/>
    <n v="7604.4500000000007"/>
    <n v="0.45779603876948999"/>
  </r>
  <r>
    <s v="ORD-1129"/>
    <d v="2026-05-06T09:00:00"/>
    <s v="P-003"/>
    <s v="BR-10"/>
    <x v="2"/>
    <n v="68"/>
    <x v="0"/>
    <n v="150"/>
    <n v="65"/>
    <n v="1.8"/>
    <x v="0"/>
    <n v="4.5"/>
    <n v="0.05"/>
    <n v="0.05"/>
    <n v="10200"/>
    <n v="9690"/>
    <n v="122.4"/>
    <n v="484.5"/>
    <n v="484"/>
    <n v="4420"/>
    <n v="4301.5"/>
    <n v="0.44391124871000998"/>
  </r>
  <r>
    <s v="ORD-1136"/>
    <d v="2026-05-06T16:00:00"/>
    <s v="P-003"/>
    <s v="BR-10"/>
    <x v="1"/>
    <n v="114"/>
    <x v="0"/>
    <n v="150"/>
    <n v="65"/>
    <n v="1.8"/>
    <x v="0"/>
    <n v="4.5"/>
    <n v="0.05"/>
    <n v="0.1"/>
    <n v="17100"/>
    <n v="15390"/>
    <n v="205.20000000000002"/>
    <n v="769.5"/>
    <n v="770"/>
    <n v="7410"/>
    <n v="6440.5"/>
    <n v="0.41848602988953898"/>
  </r>
  <r>
    <s v="ORD-1138"/>
    <d v="2026-05-06T18:00:00"/>
    <s v="P-003"/>
    <s v="BR-10"/>
    <x v="0"/>
    <n v="99"/>
    <x v="0"/>
    <n v="150"/>
    <n v="65"/>
    <n v="1.8"/>
    <x v="0"/>
    <n v="4.5"/>
    <n v="0.05"/>
    <n v="0.02"/>
    <n v="14850"/>
    <n v="14553"/>
    <n v="178.20000000000002"/>
    <n v="727.65000000000009"/>
    <n v="728"/>
    <n v="6435"/>
    <n v="6662.35"/>
    <n v="0.45779907922765101"/>
  </r>
  <r>
    <s v="ORD-1143"/>
    <d v="2026-05-06T23:00:00"/>
    <s v="P-003"/>
    <s v="BR-10"/>
    <x v="0"/>
    <n v="23"/>
    <x v="0"/>
    <n v="150"/>
    <n v="65"/>
    <n v="1.8"/>
    <x v="0"/>
    <n v="4.5"/>
    <n v="0.05"/>
    <n v="0.02"/>
    <n v="3450"/>
    <n v="3381"/>
    <n v="41.4"/>
    <n v="169.05"/>
    <n v="169"/>
    <n v="1495"/>
    <n v="1547.95"/>
    <n v="0.45783791777580601"/>
  </r>
  <r>
    <s v="ORD-1144"/>
    <d v="2026-05-07T00:00:00"/>
    <s v="P-003"/>
    <s v="BR-10"/>
    <x v="2"/>
    <n v="196"/>
    <x v="0"/>
    <n v="150"/>
    <n v="65"/>
    <n v="1.8"/>
    <x v="0"/>
    <n v="4.5"/>
    <n v="0.05"/>
    <n v="0.05"/>
    <n v="29400"/>
    <n v="27930"/>
    <n v="352.8"/>
    <n v="1396.5"/>
    <n v="1396"/>
    <n v="12740"/>
    <n v="12397.5"/>
    <n v="0.44387755102040799"/>
  </r>
  <r>
    <s v="ORD-1155"/>
    <d v="2026-05-07T11:00:00"/>
    <s v="P-003"/>
    <s v="BR-10"/>
    <x v="0"/>
    <n v="103"/>
    <x v="0"/>
    <n v="150"/>
    <n v="65"/>
    <n v="1.8"/>
    <x v="0"/>
    <n v="4.5"/>
    <n v="0.05"/>
    <n v="0.02"/>
    <n v="15450"/>
    <n v="15141"/>
    <n v="185.4"/>
    <n v="757.05000000000007"/>
    <n v="757"/>
    <n v="6695"/>
    <n v="6931.9500000000007"/>
    <n v="0.45782643154349101"/>
  </r>
  <r>
    <s v="ORD-1161"/>
    <d v="2026-05-07T17:00:00"/>
    <s v="P-003"/>
    <s v="BR-10"/>
    <x v="0"/>
    <n v="30"/>
    <x v="0"/>
    <n v="150"/>
    <n v="65"/>
    <n v="1.8"/>
    <x v="0"/>
    <n v="4.5"/>
    <n v="0.05"/>
    <n v="0.02"/>
    <n v="4500"/>
    <n v="4410"/>
    <n v="54"/>
    <n v="220.5"/>
    <n v="220"/>
    <n v="1950"/>
    <n v="2019.5"/>
    <n v="0.45793650793650797"/>
  </r>
  <r>
    <s v="ORD-1174"/>
    <d v="2026-05-08T06:00:00"/>
    <s v="P-003"/>
    <s v="BR-10"/>
    <x v="0"/>
    <n v="192"/>
    <x v="0"/>
    <n v="150"/>
    <n v="65"/>
    <n v="1.8"/>
    <x v="0"/>
    <n v="4.5"/>
    <n v="0.05"/>
    <n v="0.02"/>
    <n v="28800"/>
    <n v="28224"/>
    <n v="345.6"/>
    <n v="1411.2"/>
    <n v="1411"/>
    <n v="12480"/>
    <n v="12921.8"/>
    <n v="0.45783021541950097"/>
  </r>
  <r>
    <s v="ORD-1176"/>
    <d v="2026-05-08T08:00:00"/>
    <s v="P-003"/>
    <s v="BR-10"/>
    <x v="1"/>
    <n v="79"/>
    <x v="0"/>
    <n v="150"/>
    <n v="65"/>
    <n v="1.8"/>
    <x v="0"/>
    <n v="4.5"/>
    <n v="0.05"/>
    <n v="0.1"/>
    <n v="11850"/>
    <n v="10665"/>
    <n v="142.20000000000002"/>
    <n v="533.25"/>
    <n v="533"/>
    <n v="5135"/>
    <n v="4463.75"/>
    <n v="0.4185419596812"/>
  </r>
  <r>
    <s v="ORD-1182"/>
    <d v="2026-05-08T14:00:00"/>
    <s v="P-003"/>
    <s v="BR-10"/>
    <x v="2"/>
    <n v="89"/>
    <x v="0"/>
    <n v="150"/>
    <n v="65"/>
    <n v="1.8"/>
    <x v="0"/>
    <n v="4.5"/>
    <n v="0.05"/>
    <n v="0.05"/>
    <n v="13350"/>
    <n v="12682"/>
    <n v="160.20000000000002"/>
    <n v="634.1"/>
    <n v="634"/>
    <n v="5785"/>
    <n v="5628.9"/>
    <n v="0.44384955054407799"/>
  </r>
  <r>
    <s v="ORD-1184"/>
    <d v="2026-05-08T16:00:00"/>
    <s v="P-003"/>
    <s v="BR-10"/>
    <x v="2"/>
    <n v="183"/>
    <x v="0"/>
    <n v="150"/>
    <n v="65"/>
    <n v="1.8"/>
    <x v="0"/>
    <n v="4.5"/>
    <n v="0.05"/>
    <n v="0.05"/>
    <n v="27450"/>
    <n v="26078"/>
    <n v="329.40000000000003"/>
    <n v="1303.9000000000001"/>
    <n v="1304"/>
    <n v="11895"/>
    <n v="11575.1"/>
    <n v="0.44386456016565701"/>
  </r>
  <r>
    <s v="ORD-1185"/>
    <d v="2026-05-08T17:00:00"/>
    <s v="P-003"/>
    <s v="BR-10"/>
    <x v="1"/>
    <n v="55"/>
    <x v="0"/>
    <n v="150"/>
    <n v="65"/>
    <n v="1.8"/>
    <x v="0"/>
    <n v="4.5"/>
    <n v="0.05"/>
    <n v="0.1"/>
    <n v="8250"/>
    <n v="7425"/>
    <n v="99"/>
    <n v="371.25"/>
    <n v="371"/>
    <n v="3575"/>
    <n v="3107.75"/>
    <n v="0.41855218855218901"/>
  </r>
  <r>
    <s v="ORD-1188"/>
    <d v="2026-05-08T20:00:00"/>
    <s v="P-003"/>
    <s v="BR-10"/>
    <x v="0"/>
    <n v="149"/>
    <x v="0"/>
    <n v="150"/>
    <n v="65"/>
    <n v="1.8"/>
    <x v="0"/>
    <n v="4.5"/>
    <n v="0.05"/>
    <n v="0.02"/>
    <n v="22350"/>
    <n v="21903"/>
    <n v="268.2"/>
    <n v="1095.1500000000001"/>
    <n v="1095"/>
    <n v="9685"/>
    <n v="10027.85"/>
    <n v="0.45782997762863498"/>
  </r>
  <r>
    <s v="ORD-1193"/>
    <d v="2026-05-09T01:00:00"/>
    <s v="P-003"/>
    <s v="BR-10"/>
    <x v="1"/>
    <n v="18"/>
    <x v="0"/>
    <n v="150"/>
    <n v="65"/>
    <n v="1.8"/>
    <x v="0"/>
    <n v="4.5"/>
    <n v="0.05"/>
    <n v="0.1"/>
    <n v="2700"/>
    <n v="2430"/>
    <n v="32.4"/>
    <n v="121.5"/>
    <n v="122"/>
    <n v="1170"/>
    <n v="1016.5"/>
    <n v="0.41831275720164601"/>
  </r>
  <r>
    <s v="ORD-1196"/>
    <d v="2026-05-09T04:00:00"/>
    <s v="P-003"/>
    <s v="BR-10"/>
    <x v="1"/>
    <n v="179"/>
    <x v="0"/>
    <n v="150"/>
    <n v="65"/>
    <n v="1.8"/>
    <x v="0"/>
    <n v="4.5"/>
    <n v="0.05"/>
    <n v="0.1"/>
    <n v="26850"/>
    <n v="24165"/>
    <n v="322.2"/>
    <n v="1208.25"/>
    <n v="1208"/>
    <n v="11635"/>
    <n v="10113.75"/>
    <n v="0.41852886405959"/>
  </r>
  <r>
    <s v="ORD-1206"/>
    <d v="2026-05-09T14:00:00"/>
    <s v="P-003"/>
    <s v="BR-10"/>
    <x v="0"/>
    <n v="27"/>
    <x v="0"/>
    <n v="150"/>
    <n v="65"/>
    <n v="1.8"/>
    <x v="0"/>
    <n v="4.5"/>
    <n v="0.05"/>
    <n v="0.02"/>
    <n v="4050"/>
    <n v="3969"/>
    <n v="48.6"/>
    <n v="198.45000000000002"/>
    <n v="198"/>
    <n v="1755"/>
    <n v="1817.5500000000002"/>
    <n v="0.45793650793650797"/>
  </r>
  <r>
    <s v="ORD-1221"/>
    <d v="2026-05-10T05:00:00"/>
    <s v="P-003"/>
    <s v="BR-10"/>
    <x v="2"/>
    <n v="170"/>
    <x v="0"/>
    <n v="150"/>
    <n v="65"/>
    <n v="1.8"/>
    <x v="0"/>
    <n v="4.5"/>
    <n v="0.05"/>
    <n v="0.05"/>
    <n v="25500"/>
    <n v="24225"/>
    <n v="306"/>
    <n v="1211.25"/>
    <n v="1211"/>
    <n v="11050"/>
    <n v="10752.75"/>
    <n v="0.443869969040248"/>
  </r>
  <r>
    <s v="ORD-1231"/>
    <d v="2026-05-10T15:00:00"/>
    <s v="P-003"/>
    <s v="BR-10"/>
    <x v="0"/>
    <n v="43"/>
    <x v="0"/>
    <n v="150"/>
    <n v="65"/>
    <n v="1.8"/>
    <x v="0"/>
    <n v="4.5"/>
    <n v="0.05"/>
    <n v="0.02"/>
    <n v="6450"/>
    <n v="6321"/>
    <n v="77.400000000000006"/>
    <n v="316.05"/>
    <n v="316"/>
    <n v="2795"/>
    <n v="2893.95"/>
    <n v="0.45783103939250103"/>
  </r>
  <r>
    <s v="ORD-1234"/>
    <d v="2026-05-10T18:00:00"/>
    <s v="P-003"/>
    <s v="BR-10"/>
    <x v="1"/>
    <n v="75"/>
    <x v="0"/>
    <n v="150"/>
    <n v="65"/>
    <n v="1.8"/>
    <x v="0"/>
    <n v="4.5"/>
    <n v="0.05"/>
    <n v="0.1"/>
    <n v="11250"/>
    <n v="10125"/>
    <n v="135"/>
    <n v="506.25"/>
    <n v="506"/>
    <n v="4875"/>
    <n v="4237.75"/>
    <n v="0.41854320987654298"/>
  </r>
  <r>
    <s v="ORD-1243"/>
    <d v="2026-05-11T03:00:00"/>
    <s v="P-003"/>
    <s v="BR-10"/>
    <x v="1"/>
    <n v="135"/>
    <x v="0"/>
    <n v="150"/>
    <n v="65"/>
    <n v="1.8"/>
    <x v="0"/>
    <n v="4.5"/>
    <n v="0.05"/>
    <n v="0.1"/>
    <n v="20250"/>
    <n v="18225"/>
    <n v="243"/>
    <n v="911.25"/>
    <n v="911"/>
    <n v="8775"/>
    <n v="7627.75"/>
    <n v="0.418532235939643"/>
  </r>
  <r>
    <s v="ORD-1257"/>
    <d v="2026-05-11T17:00:00"/>
    <s v="P-003"/>
    <s v="BR-10"/>
    <x v="0"/>
    <n v="155"/>
    <x v="0"/>
    <n v="150"/>
    <n v="65"/>
    <n v="1.8"/>
    <x v="0"/>
    <n v="4.5"/>
    <n v="0.05"/>
    <n v="0.02"/>
    <n v="23250"/>
    <n v="22785"/>
    <n v="279"/>
    <n v="1139.25"/>
    <n v="1139"/>
    <n v="10075"/>
    <n v="10431.75"/>
    <n v="0.45783410138248798"/>
  </r>
  <r>
    <s v="ORD-1266"/>
    <d v="2026-05-12T02:00:00"/>
    <s v="P-003"/>
    <s v="BR-10"/>
    <x v="1"/>
    <n v="45"/>
    <x v="0"/>
    <n v="150"/>
    <n v="65"/>
    <n v="1.8"/>
    <x v="0"/>
    <n v="4.5"/>
    <n v="0.05"/>
    <n v="0.1"/>
    <n v="6750"/>
    <n v="6075"/>
    <n v="81"/>
    <n v="303.75"/>
    <n v="304"/>
    <n v="2925"/>
    <n v="2542.25"/>
    <n v="0.41847736625514398"/>
  </r>
  <r>
    <s v="ORD-1277"/>
    <d v="2026-05-12T13:00:00"/>
    <s v="P-003"/>
    <s v="BR-10"/>
    <x v="1"/>
    <n v="151"/>
    <x v="0"/>
    <n v="150"/>
    <n v="65"/>
    <n v="1.8"/>
    <x v="0"/>
    <n v="4.5"/>
    <n v="0.05"/>
    <n v="0.1"/>
    <n v="22650"/>
    <n v="20385"/>
    <n v="271.8"/>
    <n v="1019.25"/>
    <n v="1019"/>
    <n v="9815"/>
    <n v="8531.75"/>
    <n v="0.41853078243806702"/>
  </r>
  <r>
    <s v="ORD-1278"/>
    <d v="2026-05-12T14:00:00"/>
    <s v="P-003"/>
    <s v="BR-10"/>
    <x v="2"/>
    <n v="62"/>
    <x v="0"/>
    <n v="150"/>
    <n v="65"/>
    <n v="1.8"/>
    <x v="0"/>
    <n v="4.5"/>
    <n v="0.05"/>
    <n v="0.05"/>
    <n v="9300"/>
    <n v="8835"/>
    <n v="111.60000000000001"/>
    <n v="441.75"/>
    <n v="442"/>
    <n v="4030"/>
    <n v="3921.25"/>
    <n v="0.44383135257498602"/>
  </r>
  <r>
    <s v="ORD-1285"/>
    <d v="2026-05-12T21:00:00"/>
    <s v="P-003"/>
    <s v="BR-10"/>
    <x v="2"/>
    <n v="97"/>
    <x v="0"/>
    <n v="150"/>
    <n v="65"/>
    <n v="1.8"/>
    <x v="0"/>
    <n v="4.5"/>
    <n v="0.05"/>
    <n v="0.05"/>
    <n v="14550"/>
    <n v="13822"/>
    <n v="174.6"/>
    <n v="691.1"/>
    <n v="691"/>
    <n v="6305"/>
    <n v="6134.9"/>
    <n v="0.44385038344667899"/>
  </r>
  <r>
    <s v="ORD-1289"/>
    <d v="2026-05-13T01:00:00"/>
    <s v="P-003"/>
    <s v="BR-10"/>
    <x v="2"/>
    <n v="38"/>
    <x v="0"/>
    <n v="150"/>
    <n v="65"/>
    <n v="1.8"/>
    <x v="0"/>
    <n v="4.5"/>
    <n v="0.05"/>
    <n v="0.05"/>
    <n v="5700"/>
    <n v="5415"/>
    <n v="68.400000000000006"/>
    <n v="270.75"/>
    <n v="271"/>
    <n v="2470"/>
    <n v="2403.25"/>
    <n v="0.44381348107109903"/>
  </r>
  <r>
    <s v="ORD-1293"/>
    <d v="2026-05-13T05:00:00"/>
    <s v="P-003"/>
    <s v="BR-10"/>
    <x v="0"/>
    <n v="132"/>
    <x v="0"/>
    <n v="150"/>
    <n v="65"/>
    <n v="1.8"/>
    <x v="0"/>
    <n v="4.5"/>
    <n v="0.05"/>
    <n v="0.02"/>
    <n v="19800"/>
    <n v="19404"/>
    <n v="237.6"/>
    <n v="970.2"/>
    <n v="970"/>
    <n v="8580"/>
    <n v="8883.7999999999993"/>
    <n v="0.45783343640486501"/>
  </r>
  <r>
    <s v="ORD-1299"/>
    <d v="2026-05-13T11:00:00"/>
    <s v="P-003"/>
    <s v="BR-10"/>
    <x v="2"/>
    <n v="26"/>
    <x v="0"/>
    <n v="150"/>
    <n v="65"/>
    <n v="1.8"/>
    <x v="0"/>
    <n v="4.5"/>
    <n v="0.05"/>
    <n v="0.05"/>
    <n v="3900"/>
    <n v="3705"/>
    <n v="46.800000000000004"/>
    <n v="185.25"/>
    <n v="185"/>
    <n v="1690"/>
    <n v="1644.75"/>
    <n v="0.44392712550607299"/>
  </r>
  <r>
    <s v="ORD-1302"/>
    <d v="2026-05-13T14:00:00"/>
    <s v="P-003"/>
    <s v="BR-10"/>
    <x v="0"/>
    <n v="42"/>
    <x v="0"/>
    <n v="150"/>
    <n v="65"/>
    <n v="1.8"/>
    <x v="0"/>
    <n v="4.5"/>
    <n v="0.05"/>
    <n v="0.02"/>
    <n v="6300"/>
    <n v="6174"/>
    <n v="75.600000000000009"/>
    <n v="308.70000000000005"/>
    <n v="309"/>
    <n v="2730"/>
    <n v="2826.3"/>
    <n v="0.457774538386783"/>
  </r>
  <r>
    <s v="ORD-1306"/>
    <d v="2026-05-13T18:00:00"/>
    <s v="P-003"/>
    <s v="BR-10"/>
    <x v="0"/>
    <n v="13"/>
    <x v="0"/>
    <n v="150"/>
    <n v="65"/>
    <n v="1.8"/>
    <x v="0"/>
    <n v="4.5"/>
    <n v="0.05"/>
    <n v="0.02"/>
    <n v="1950"/>
    <n v="1911"/>
    <n v="23.400000000000002"/>
    <n v="95.550000000000011"/>
    <n v="96"/>
    <n v="845"/>
    <n v="874.45"/>
    <n v="0.45758765044479299"/>
  </r>
  <r>
    <s v="ORD-1312"/>
    <d v="2026-05-14T00:00:00"/>
    <s v="P-003"/>
    <s v="BR-10"/>
    <x v="1"/>
    <n v="106"/>
    <x v="0"/>
    <n v="150"/>
    <n v="65"/>
    <n v="1.8"/>
    <x v="0"/>
    <n v="4.5"/>
    <n v="0.05"/>
    <n v="0.1"/>
    <n v="15900"/>
    <n v="14310"/>
    <n v="190.8"/>
    <n v="715.5"/>
    <n v="716"/>
    <n v="6890"/>
    <n v="5988.5"/>
    <n v="0.41848357791753998"/>
  </r>
  <r>
    <s v="ORD-1313"/>
    <d v="2026-05-14T01:00:00"/>
    <s v="P-003"/>
    <s v="BR-10"/>
    <x v="1"/>
    <n v="73"/>
    <x v="0"/>
    <n v="150"/>
    <n v="65"/>
    <n v="1.8"/>
    <x v="0"/>
    <n v="4.5"/>
    <n v="0.05"/>
    <n v="0.1"/>
    <n v="10950"/>
    <n v="9855"/>
    <n v="131.4"/>
    <n v="492.75"/>
    <n v="493"/>
    <n v="4745"/>
    <n v="4124.25"/>
    <n v="0.41849315068493198"/>
  </r>
  <r>
    <s v="ORD-1336"/>
    <d v="2026-05-15T00:00:00"/>
    <s v="P-003"/>
    <s v="BR-10"/>
    <x v="2"/>
    <n v="71"/>
    <x v="0"/>
    <n v="150"/>
    <n v="65"/>
    <n v="1.8"/>
    <x v="0"/>
    <n v="4.5"/>
    <n v="0.05"/>
    <n v="0.05"/>
    <n v="10650"/>
    <n v="10118"/>
    <n v="127.8"/>
    <n v="505.90000000000003"/>
    <n v="506"/>
    <n v="4615"/>
    <n v="4491.1000000000004"/>
    <n v="0.44387230677999601"/>
  </r>
  <r>
    <s v="ORD-1339"/>
    <d v="2026-05-15T03:00:00"/>
    <s v="P-003"/>
    <s v="BR-10"/>
    <x v="1"/>
    <n v="176"/>
    <x v="0"/>
    <n v="150"/>
    <n v="65"/>
    <n v="1.8"/>
    <x v="0"/>
    <n v="4.5"/>
    <n v="0.05"/>
    <n v="0.1"/>
    <n v="26400"/>
    <n v="23760"/>
    <n v="316.8"/>
    <n v="1188"/>
    <n v="1188"/>
    <n v="11440"/>
    <n v="9944"/>
    <n v="0.41851851851851801"/>
  </r>
  <r>
    <s v="ORD-1350"/>
    <d v="2026-05-15T14:00:00"/>
    <s v="P-003"/>
    <s v="BR-10"/>
    <x v="1"/>
    <n v="134"/>
    <x v="0"/>
    <n v="150"/>
    <n v="65"/>
    <n v="1.8"/>
    <x v="0"/>
    <n v="4.5"/>
    <n v="0.05"/>
    <n v="0.1"/>
    <n v="20100"/>
    <n v="18090"/>
    <n v="241.20000000000002"/>
    <n v="904.5"/>
    <n v="904"/>
    <n v="8710"/>
    <n v="7571.5"/>
    <n v="0.41854615809839701"/>
  </r>
  <r>
    <s v="ORD-1382"/>
    <d v="2026-05-16T22:00:00"/>
    <s v="P-003"/>
    <s v="BR-10"/>
    <x v="1"/>
    <n v="98"/>
    <x v="0"/>
    <n v="150"/>
    <n v="65"/>
    <n v="1.8"/>
    <x v="0"/>
    <n v="4.5"/>
    <n v="0.05"/>
    <n v="0.1"/>
    <n v="14700"/>
    <n v="13230"/>
    <n v="176.4"/>
    <n v="661.5"/>
    <n v="662"/>
    <n v="6370"/>
    <n v="5536.5"/>
    <n v="0.41848072562358302"/>
  </r>
  <r>
    <s v="ORD-1391"/>
    <d v="2026-05-17T07:00:00"/>
    <s v="P-003"/>
    <s v="BR-10"/>
    <x v="1"/>
    <n v="38"/>
    <x v="0"/>
    <n v="150"/>
    <n v="65"/>
    <n v="1.8"/>
    <x v="0"/>
    <n v="4.5"/>
    <n v="0.05"/>
    <n v="0.1"/>
    <n v="5700"/>
    <n v="5130"/>
    <n v="68.400000000000006"/>
    <n v="256.5"/>
    <n v="256"/>
    <n v="2470"/>
    <n v="2147.5"/>
    <n v="0.418615984405458"/>
  </r>
  <r>
    <s v="ORD-1397"/>
    <d v="2026-05-17T13:00:00"/>
    <s v="P-003"/>
    <s v="BR-10"/>
    <x v="0"/>
    <n v="143"/>
    <x v="0"/>
    <n v="150"/>
    <n v="65"/>
    <n v="1.8"/>
    <x v="0"/>
    <n v="4.5"/>
    <n v="0.05"/>
    <n v="0.02"/>
    <n v="21450"/>
    <n v="21021"/>
    <n v="257.40000000000003"/>
    <n v="1051.05"/>
    <n v="1051"/>
    <n v="9295"/>
    <n v="9623.9500000000007"/>
    <n v="0.45782550782550802"/>
  </r>
  <r>
    <s v="ORD-1403"/>
    <d v="2026-05-17T19:00:00"/>
    <s v="P-003"/>
    <s v="BR-10"/>
    <x v="0"/>
    <n v="103"/>
    <x v="0"/>
    <n v="150"/>
    <n v="65"/>
    <n v="1.8"/>
    <x v="0"/>
    <n v="4.5"/>
    <n v="0.05"/>
    <n v="0.02"/>
    <n v="15450"/>
    <n v="15141"/>
    <n v="185.4"/>
    <n v="757.05000000000007"/>
    <n v="757"/>
    <n v="6695"/>
    <n v="6931.9500000000007"/>
    <n v="0.45782643154349101"/>
  </r>
  <r>
    <s v="ORD-1406"/>
    <d v="2026-05-17T22:00:00"/>
    <s v="P-003"/>
    <s v="BR-10"/>
    <x v="2"/>
    <n v="192"/>
    <x v="0"/>
    <n v="150"/>
    <n v="65"/>
    <n v="1.8"/>
    <x v="0"/>
    <n v="4.5"/>
    <n v="0.05"/>
    <n v="0.05"/>
    <n v="28800"/>
    <n v="27360"/>
    <n v="345.6"/>
    <n v="1368"/>
    <n v="1368"/>
    <n v="12480"/>
    <n v="12144"/>
    <n v="0.44385964912280701"/>
  </r>
  <r>
    <s v="ORD-1407"/>
    <d v="2026-05-17T23:00:00"/>
    <s v="P-003"/>
    <s v="BR-10"/>
    <x v="1"/>
    <n v="98"/>
    <x v="0"/>
    <n v="150"/>
    <n v="65"/>
    <n v="1.8"/>
    <x v="0"/>
    <n v="4.5"/>
    <n v="0.05"/>
    <n v="0.1"/>
    <n v="14700"/>
    <n v="13230"/>
    <n v="176.4"/>
    <n v="661.5"/>
    <n v="662"/>
    <n v="6370"/>
    <n v="5536.5"/>
    <n v="0.41848072562358302"/>
  </r>
  <r>
    <s v="ORD-1414"/>
    <d v="2026-05-18T06:00:00"/>
    <s v="P-003"/>
    <s v="BR-10"/>
    <x v="1"/>
    <n v="56"/>
    <x v="0"/>
    <n v="150"/>
    <n v="65"/>
    <n v="1.8"/>
    <x v="0"/>
    <n v="4.5"/>
    <n v="0.05"/>
    <n v="0.1"/>
    <n v="8400"/>
    <n v="7560"/>
    <n v="100.8"/>
    <n v="378"/>
    <n v="378"/>
    <n v="3640"/>
    <n v="3164"/>
    <n v="0.41851851851851801"/>
  </r>
  <r>
    <s v="ORD-1421"/>
    <d v="2026-05-18T13:00:00"/>
    <s v="P-003"/>
    <s v="BR-10"/>
    <x v="2"/>
    <n v="181"/>
    <x v="0"/>
    <n v="150"/>
    <n v="65"/>
    <n v="1.8"/>
    <x v="0"/>
    <n v="4.5"/>
    <n v="0.05"/>
    <n v="0.05"/>
    <n v="27150"/>
    <n v="25792"/>
    <n v="325.8"/>
    <n v="1289.6000000000001"/>
    <n v="1290"/>
    <n v="11765"/>
    <n v="11447.4"/>
    <n v="0.44383529776674902"/>
  </r>
  <r>
    <s v="ORD-1428"/>
    <d v="2026-05-18T20:00:00"/>
    <s v="P-003"/>
    <s v="BR-10"/>
    <x v="0"/>
    <n v="197"/>
    <x v="0"/>
    <n v="150"/>
    <n v="65"/>
    <n v="1.8"/>
    <x v="0"/>
    <n v="4.5"/>
    <n v="0.05"/>
    <n v="0.02"/>
    <n v="29550"/>
    <n v="28959"/>
    <n v="354.6"/>
    <n v="1447.95"/>
    <n v="1448"/>
    <n v="12805"/>
    <n v="13258.05"/>
    <n v="0.45782140267274402"/>
  </r>
  <r>
    <s v="ORD-1439"/>
    <d v="2026-05-19T07:00:00"/>
    <s v="P-003"/>
    <s v="BR-10"/>
    <x v="2"/>
    <n v="158"/>
    <x v="0"/>
    <n v="150"/>
    <n v="65"/>
    <n v="1.8"/>
    <x v="0"/>
    <n v="4.5"/>
    <n v="0.05"/>
    <n v="0.05"/>
    <n v="23700"/>
    <n v="22515"/>
    <n v="284.40000000000003"/>
    <n v="1125.75"/>
    <n v="1126"/>
    <n v="10270"/>
    <n v="9993.25"/>
    <n v="0.44384854541416802"/>
  </r>
  <r>
    <s v="ORD-1440"/>
    <d v="2026-05-19T08:00:00"/>
    <s v="P-003"/>
    <s v="BR-10"/>
    <x v="0"/>
    <n v="22"/>
    <x v="0"/>
    <n v="150"/>
    <n v="65"/>
    <n v="1.8"/>
    <x v="0"/>
    <n v="4.5"/>
    <n v="0.05"/>
    <n v="0.02"/>
    <n v="3300"/>
    <n v="3234"/>
    <n v="39.6"/>
    <n v="161.70000000000002"/>
    <n v="162"/>
    <n v="1430"/>
    <n v="1480.3"/>
    <n v="0.457730364873222"/>
  </r>
  <r>
    <s v="ORD-1445"/>
    <d v="2026-05-19T13:00:00"/>
    <s v="P-003"/>
    <s v="BR-10"/>
    <x v="1"/>
    <n v="179"/>
    <x v="0"/>
    <n v="150"/>
    <n v="65"/>
    <n v="1.8"/>
    <x v="0"/>
    <n v="4.5"/>
    <n v="0.05"/>
    <n v="0.1"/>
    <n v="26850"/>
    <n v="24165"/>
    <n v="322.2"/>
    <n v="1208.25"/>
    <n v="1208"/>
    <n v="11635"/>
    <n v="10113.75"/>
    <n v="0.41852886405959"/>
  </r>
  <r>
    <s v="ORD-1448"/>
    <d v="2026-05-19T16:00:00"/>
    <s v="P-003"/>
    <s v="BR-10"/>
    <x v="2"/>
    <n v="23"/>
    <x v="0"/>
    <n v="150"/>
    <n v="65"/>
    <n v="1.8"/>
    <x v="0"/>
    <n v="4.5"/>
    <n v="0.05"/>
    <n v="0.05"/>
    <n v="3450"/>
    <n v="3278"/>
    <n v="41.4"/>
    <n v="163.9"/>
    <n v="164"/>
    <n v="1495"/>
    <n v="1455.1"/>
    <n v="0.44389871873093301"/>
  </r>
  <r>
    <s v="ORD-1451"/>
    <d v="2026-05-19T19:00:00"/>
    <s v="P-003"/>
    <s v="BR-10"/>
    <x v="1"/>
    <n v="122"/>
    <x v="0"/>
    <n v="150"/>
    <n v="65"/>
    <n v="1.8"/>
    <x v="0"/>
    <n v="4.5"/>
    <n v="0.05"/>
    <n v="0.1"/>
    <n v="18300"/>
    <n v="16470"/>
    <n v="219.6"/>
    <n v="823.5"/>
    <n v="824"/>
    <n v="7930"/>
    <n v="6892.5"/>
    <n v="0.41848816029143898"/>
  </r>
  <r>
    <s v="ORD-1460"/>
    <d v="2026-05-20T04:00:00"/>
    <s v="P-003"/>
    <s v="BR-10"/>
    <x v="2"/>
    <n v="118"/>
    <x v="0"/>
    <n v="150"/>
    <n v="65"/>
    <n v="1.8"/>
    <x v="0"/>
    <n v="4.5"/>
    <n v="0.05"/>
    <n v="0.05"/>
    <n v="17700"/>
    <n v="16815"/>
    <n v="212.4"/>
    <n v="840.75"/>
    <n v="841"/>
    <n v="7670"/>
    <n v="7463.25"/>
    <n v="0.443844781445138"/>
  </r>
  <r>
    <s v="ORD-1478"/>
    <d v="2026-05-20T22:00:00"/>
    <s v="P-003"/>
    <s v="BR-10"/>
    <x v="2"/>
    <n v="191"/>
    <x v="0"/>
    <n v="150"/>
    <n v="65"/>
    <n v="1.8"/>
    <x v="0"/>
    <n v="4.5"/>
    <n v="0.05"/>
    <n v="0.05"/>
    <n v="28650"/>
    <n v="27218"/>
    <n v="343.8"/>
    <n v="1360.9"/>
    <n v="1361"/>
    <n v="12415"/>
    <n v="12081.1"/>
    <n v="0.44386435447130601"/>
  </r>
  <r>
    <s v="ORD-1493"/>
    <d v="2026-05-21T13:00:00"/>
    <s v="P-003"/>
    <s v="BR-10"/>
    <x v="1"/>
    <n v="48"/>
    <x v="0"/>
    <n v="150"/>
    <n v="65"/>
    <n v="1.8"/>
    <x v="0"/>
    <n v="4.5"/>
    <n v="0.05"/>
    <n v="0.1"/>
    <n v="7200"/>
    <n v="6480"/>
    <n v="86.4"/>
    <n v="324"/>
    <n v="324"/>
    <n v="3120"/>
    <n v="2712"/>
    <n v="0.41851851851851801"/>
  </r>
  <r>
    <s v="ORD-1495"/>
    <d v="2026-05-21T15:00:00"/>
    <s v="P-003"/>
    <s v="BR-10"/>
    <x v="2"/>
    <n v="21"/>
    <x v="0"/>
    <n v="150"/>
    <n v="65"/>
    <n v="1.8"/>
    <x v="0"/>
    <n v="4.5"/>
    <n v="0.05"/>
    <n v="0.05"/>
    <n v="3150"/>
    <n v="2992"/>
    <n v="37.800000000000004"/>
    <n v="149.6"/>
    <n v="150"/>
    <n v="1365"/>
    <n v="1327.4"/>
    <n v="0.44364973262032098"/>
  </r>
  <r>
    <s v="ORD-1502"/>
    <d v="2026-05-21T22:00:00"/>
    <s v="P-003"/>
    <s v="BR-10"/>
    <x v="2"/>
    <n v="138"/>
    <x v="0"/>
    <n v="150"/>
    <n v="65"/>
    <n v="1.8"/>
    <x v="0"/>
    <n v="4.5"/>
    <n v="0.05"/>
    <n v="0.05"/>
    <n v="20700"/>
    <n v="19665"/>
    <n v="248.4"/>
    <n v="983.25"/>
    <n v="983"/>
    <n v="8970"/>
    <n v="8728.75"/>
    <n v="0.44387236206458203"/>
  </r>
  <r>
    <s v="ORD-1506"/>
    <d v="2026-05-22T02:00:00"/>
    <s v="P-003"/>
    <s v="BR-10"/>
    <x v="2"/>
    <n v="55"/>
    <x v="0"/>
    <n v="150"/>
    <n v="65"/>
    <n v="1.8"/>
    <x v="0"/>
    <n v="4.5"/>
    <n v="0.05"/>
    <n v="0.05"/>
    <n v="8250"/>
    <n v="7838"/>
    <n v="99"/>
    <n v="391.90000000000003"/>
    <n v="392"/>
    <n v="3575"/>
    <n v="3479.1000000000004"/>
    <n v="0.443875988772646"/>
  </r>
  <r>
    <s v="ORD-1508"/>
    <d v="2026-05-22T04:00:00"/>
    <s v="P-003"/>
    <s v="BR-10"/>
    <x v="1"/>
    <n v="109"/>
    <x v="0"/>
    <n v="150"/>
    <n v="65"/>
    <n v="1.8"/>
    <x v="0"/>
    <n v="4.5"/>
    <n v="0.05"/>
    <n v="0.1"/>
    <n v="16350"/>
    <n v="14715"/>
    <n v="196.20000000000002"/>
    <n v="735.75"/>
    <n v="736"/>
    <n v="7085"/>
    <n v="6158.25"/>
    <n v="0.41850152905198801"/>
  </r>
  <r>
    <s v="ORD-1562"/>
    <d v="2026-05-24T10:00:00"/>
    <s v="P-003"/>
    <s v="BR-10"/>
    <x v="1"/>
    <n v="120"/>
    <x v="0"/>
    <n v="150"/>
    <n v="65"/>
    <n v="1.8"/>
    <x v="0"/>
    <n v="4.5"/>
    <n v="0.05"/>
    <n v="0.1"/>
    <n v="18000"/>
    <n v="16200"/>
    <n v="216"/>
    <n v="810"/>
    <n v="810"/>
    <n v="7800"/>
    <n v="6780"/>
    <n v="0.41851851851851801"/>
  </r>
  <r>
    <s v="ORD-1568"/>
    <d v="2026-05-24T16:00:00"/>
    <s v="P-003"/>
    <s v="BR-10"/>
    <x v="1"/>
    <n v="61"/>
    <x v="0"/>
    <n v="150"/>
    <n v="65"/>
    <n v="1.8"/>
    <x v="0"/>
    <n v="4.5"/>
    <n v="0.05"/>
    <n v="0.1"/>
    <n v="9150"/>
    <n v="8235"/>
    <n v="109.8"/>
    <n v="411.75"/>
    <n v="412"/>
    <n v="3965"/>
    <n v="3446.25"/>
    <n v="0.41848816029143898"/>
  </r>
  <r>
    <s v="ORD-1572"/>
    <d v="2026-05-24T20:00:00"/>
    <s v="P-003"/>
    <s v="BR-10"/>
    <x v="2"/>
    <n v="19"/>
    <x v="0"/>
    <n v="150"/>
    <n v="65"/>
    <n v="1.8"/>
    <x v="0"/>
    <n v="4.5"/>
    <n v="0.05"/>
    <n v="0.05"/>
    <n v="2850"/>
    <n v="2708"/>
    <n v="34.200000000000003"/>
    <n v="135.4"/>
    <n v="135"/>
    <n v="1235"/>
    <n v="1202.5999999999999"/>
    <n v="0.44409158050221598"/>
  </r>
  <r>
    <s v="ORD-1574"/>
    <d v="2026-05-24T22:00:00"/>
    <s v="P-003"/>
    <s v="BR-10"/>
    <x v="2"/>
    <n v="64"/>
    <x v="0"/>
    <n v="150"/>
    <n v="65"/>
    <n v="1.8"/>
    <x v="0"/>
    <n v="4.5"/>
    <n v="0.05"/>
    <n v="0.05"/>
    <n v="9600"/>
    <n v="9120"/>
    <n v="115.2"/>
    <n v="456"/>
    <n v="456"/>
    <n v="4160"/>
    <n v="4048"/>
    <n v="0.44385964912280701"/>
  </r>
  <r>
    <s v="ORD-1580"/>
    <d v="2026-05-25T04:00:00"/>
    <s v="P-003"/>
    <s v="BR-10"/>
    <x v="2"/>
    <n v="48"/>
    <x v="0"/>
    <n v="150"/>
    <n v="65"/>
    <n v="1.8"/>
    <x v="0"/>
    <n v="4.5"/>
    <n v="0.05"/>
    <n v="0.05"/>
    <n v="7200"/>
    <n v="6840"/>
    <n v="86.4"/>
    <n v="342"/>
    <n v="342"/>
    <n v="3120"/>
    <n v="3036"/>
    <n v="0.44385964912280701"/>
  </r>
  <r>
    <s v="ORD-1607"/>
    <d v="2026-05-26T07:00:00"/>
    <s v="P-003"/>
    <s v="BR-10"/>
    <x v="2"/>
    <n v="23"/>
    <x v="0"/>
    <n v="150"/>
    <n v="65"/>
    <n v="1.8"/>
    <x v="0"/>
    <n v="4.5"/>
    <n v="0.05"/>
    <n v="0.05"/>
    <n v="3450"/>
    <n v="3278"/>
    <n v="41.4"/>
    <n v="163.9"/>
    <n v="164"/>
    <n v="1495"/>
    <n v="1455.1"/>
    <n v="0.44389871873093301"/>
  </r>
  <r>
    <s v="ORD-1614"/>
    <d v="2026-05-26T14:00:00"/>
    <s v="P-003"/>
    <s v="BR-10"/>
    <x v="2"/>
    <n v="55"/>
    <x v="0"/>
    <n v="150"/>
    <n v="65"/>
    <n v="1.8"/>
    <x v="0"/>
    <n v="4.5"/>
    <n v="0.05"/>
    <n v="0.05"/>
    <n v="8250"/>
    <n v="7838"/>
    <n v="99"/>
    <n v="391.90000000000003"/>
    <n v="392"/>
    <n v="3575"/>
    <n v="3479.1000000000004"/>
    <n v="0.443875988772646"/>
  </r>
  <r>
    <s v="ORD-1623"/>
    <d v="2026-05-26T23:00:00"/>
    <s v="P-003"/>
    <s v="BR-10"/>
    <x v="0"/>
    <n v="66"/>
    <x v="0"/>
    <n v="150"/>
    <n v="65"/>
    <n v="1.8"/>
    <x v="0"/>
    <n v="4.5"/>
    <n v="0.05"/>
    <n v="0.02"/>
    <n v="9900"/>
    <n v="9702"/>
    <n v="118.8"/>
    <n v="485.1"/>
    <n v="485"/>
    <n v="4290"/>
    <n v="4441.8999999999996"/>
    <n v="0.45783343640486501"/>
  </r>
  <r>
    <s v="ORD-1627"/>
    <d v="2026-05-27T03:00:00"/>
    <s v="P-003"/>
    <s v="BR-10"/>
    <x v="0"/>
    <n v="100"/>
    <x v="0"/>
    <n v="150"/>
    <n v="65"/>
    <n v="1.8"/>
    <x v="0"/>
    <n v="4.5"/>
    <n v="0.05"/>
    <n v="0.02"/>
    <n v="15000"/>
    <n v="14700"/>
    <n v="180"/>
    <n v="735"/>
    <n v="735"/>
    <n v="6500"/>
    <n v="6730"/>
    <n v="0.45782312925170099"/>
  </r>
  <r>
    <s v="ORD-1641"/>
    <d v="2026-05-27T17:00:00"/>
    <s v="P-003"/>
    <s v="BR-10"/>
    <x v="1"/>
    <n v="39"/>
    <x v="0"/>
    <n v="150"/>
    <n v="65"/>
    <n v="1.8"/>
    <x v="0"/>
    <n v="4.5"/>
    <n v="0.05"/>
    <n v="0.1"/>
    <n v="5850"/>
    <n v="5265"/>
    <n v="70.2"/>
    <n v="263.25"/>
    <n v="263"/>
    <n v="2535"/>
    <n v="2203.75"/>
    <n v="0.41856600189933502"/>
  </r>
  <r>
    <s v="ORD-1651"/>
    <d v="2026-05-28T03:00:00"/>
    <s v="P-003"/>
    <s v="BR-10"/>
    <x v="1"/>
    <n v="108"/>
    <x v="0"/>
    <n v="150"/>
    <n v="65"/>
    <n v="1.8"/>
    <x v="0"/>
    <n v="4.5"/>
    <n v="0.05"/>
    <n v="0.1"/>
    <n v="16200"/>
    <n v="14580"/>
    <n v="194.4"/>
    <n v="729"/>
    <n v="729"/>
    <n v="7020"/>
    <n v="6102"/>
    <n v="0.41851851851851801"/>
  </r>
  <r>
    <s v="ORD-1652"/>
    <d v="2026-05-28T04:00:00"/>
    <s v="P-003"/>
    <s v="BR-10"/>
    <x v="0"/>
    <n v="103"/>
    <x v="0"/>
    <n v="150"/>
    <n v="65"/>
    <n v="1.8"/>
    <x v="0"/>
    <n v="4.5"/>
    <n v="0.05"/>
    <n v="0.02"/>
    <n v="15450"/>
    <n v="15141"/>
    <n v="185.4"/>
    <n v="757.05000000000007"/>
    <n v="757"/>
    <n v="6695"/>
    <n v="6931.9500000000007"/>
    <n v="0.45782643154349101"/>
  </r>
  <r>
    <s v="ORD-1653"/>
    <d v="2026-05-28T05:00:00"/>
    <s v="P-003"/>
    <s v="BR-10"/>
    <x v="0"/>
    <n v="21"/>
    <x v="0"/>
    <n v="150"/>
    <n v="65"/>
    <n v="1.8"/>
    <x v="0"/>
    <n v="4.5"/>
    <n v="0.05"/>
    <n v="0.02"/>
    <n v="3150"/>
    <n v="3087"/>
    <n v="37.800000000000004"/>
    <n v="154.35000000000002"/>
    <n v="154"/>
    <n v="1365"/>
    <n v="1413.65"/>
    <n v="0.45793650793650797"/>
  </r>
  <r>
    <s v="ORD-1654"/>
    <d v="2026-05-28T06:00:00"/>
    <s v="P-003"/>
    <s v="BR-10"/>
    <x v="2"/>
    <n v="154"/>
    <x v="0"/>
    <n v="150"/>
    <n v="65"/>
    <n v="1.8"/>
    <x v="0"/>
    <n v="4.5"/>
    <n v="0.05"/>
    <n v="0.05"/>
    <n v="23100"/>
    <n v="21945"/>
    <n v="277.2"/>
    <n v="1097.25"/>
    <n v="1097"/>
    <n v="10010"/>
    <n v="9740.75"/>
    <n v="0.44387104123946203"/>
  </r>
  <r>
    <s v="ORD-1655"/>
    <d v="2026-05-28T07:00:00"/>
    <s v="P-003"/>
    <s v="BR-10"/>
    <x v="1"/>
    <n v="13"/>
    <x v="0"/>
    <n v="150"/>
    <n v="65"/>
    <n v="1.8"/>
    <x v="0"/>
    <n v="4.5"/>
    <n v="0.05"/>
    <n v="0.1"/>
    <n v="1950"/>
    <n v="1755"/>
    <n v="23.400000000000002"/>
    <n v="87.75"/>
    <n v="88"/>
    <n v="845"/>
    <n v="734.25"/>
    <n v="0.418376068376068"/>
  </r>
  <r>
    <s v="ORD-1658"/>
    <d v="2026-05-28T10:00:00"/>
    <s v="P-003"/>
    <s v="BR-10"/>
    <x v="0"/>
    <n v="128"/>
    <x v="0"/>
    <n v="150"/>
    <n v="65"/>
    <n v="1.8"/>
    <x v="0"/>
    <n v="4.5"/>
    <n v="0.05"/>
    <n v="0.02"/>
    <n v="19200"/>
    <n v="18816"/>
    <n v="230.4"/>
    <n v="940.80000000000007"/>
    <n v="941"/>
    <n v="8320"/>
    <n v="8614.2000000000007"/>
    <n v="0.45781250000000001"/>
  </r>
  <r>
    <s v="ORD-1660"/>
    <d v="2026-05-28T12:00:00"/>
    <s v="P-003"/>
    <s v="BR-10"/>
    <x v="2"/>
    <n v="84"/>
    <x v="0"/>
    <n v="150"/>
    <n v="65"/>
    <n v="1.8"/>
    <x v="0"/>
    <n v="4.5"/>
    <n v="0.05"/>
    <n v="0.05"/>
    <n v="12600"/>
    <n v="11970"/>
    <n v="151.20000000000002"/>
    <n v="598.5"/>
    <n v="598"/>
    <n v="5460"/>
    <n v="5313.5"/>
    <n v="0.44390142021721002"/>
  </r>
  <r>
    <s v="ORD-1665"/>
    <d v="2026-05-28T17:00:00"/>
    <s v="P-003"/>
    <s v="BR-10"/>
    <x v="2"/>
    <n v="33"/>
    <x v="0"/>
    <n v="150"/>
    <n v="65"/>
    <n v="1.8"/>
    <x v="0"/>
    <n v="4.5"/>
    <n v="0.05"/>
    <n v="0.05"/>
    <n v="4950"/>
    <n v="4702"/>
    <n v="59.4"/>
    <n v="235.10000000000002"/>
    <n v="235"/>
    <n v="2145"/>
    <n v="2086.9"/>
    <n v="0.44383241173968502"/>
  </r>
  <r>
    <s v="ORD-1693"/>
    <d v="2026-05-29T21:00:00"/>
    <s v="P-003"/>
    <s v="BR-10"/>
    <x v="2"/>
    <n v="35"/>
    <x v="0"/>
    <n v="150"/>
    <n v="65"/>
    <n v="1.8"/>
    <x v="0"/>
    <n v="4.5"/>
    <n v="0.05"/>
    <n v="0.05"/>
    <n v="5250"/>
    <n v="4988"/>
    <n v="63"/>
    <n v="249.4"/>
    <n v="249"/>
    <n v="2275"/>
    <n v="2214.6"/>
    <n v="0.44398556535685602"/>
  </r>
  <r>
    <s v="ORD-1704"/>
    <d v="2026-05-30T08:00:00"/>
    <s v="P-003"/>
    <s v="BR-10"/>
    <x v="1"/>
    <n v="88"/>
    <x v="0"/>
    <n v="150"/>
    <n v="65"/>
    <n v="1.8"/>
    <x v="0"/>
    <n v="4.5"/>
    <n v="0.05"/>
    <n v="0.1"/>
    <n v="13200"/>
    <n v="11880"/>
    <n v="158.4"/>
    <n v="594"/>
    <n v="594"/>
    <n v="5720"/>
    <n v="4972"/>
    <n v="0.41851851851851801"/>
  </r>
  <r>
    <s v="ORD-1707"/>
    <d v="2026-05-30T11:00:00"/>
    <s v="P-003"/>
    <s v="BR-10"/>
    <x v="2"/>
    <n v="165"/>
    <x v="0"/>
    <n v="150"/>
    <n v="65"/>
    <n v="1.8"/>
    <x v="0"/>
    <n v="4.5"/>
    <n v="0.05"/>
    <n v="0.05"/>
    <n v="24750"/>
    <n v="23512"/>
    <n v="297"/>
    <n v="1175.6000000000001"/>
    <n v="1176"/>
    <n v="10725"/>
    <n v="10435.4"/>
    <n v="0.44383293637291599"/>
  </r>
  <r>
    <s v="ORD-1718"/>
    <d v="2026-05-30T22:00:00"/>
    <s v="P-003"/>
    <s v="BR-10"/>
    <x v="0"/>
    <n v="86"/>
    <x v="0"/>
    <n v="150"/>
    <n v="65"/>
    <n v="1.8"/>
    <x v="0"/>
    <n v="4.5"/>
    <n v="0.05"/>
    <n v="0.02"/>
    <n v="12900"/>
    <n v="12642"/>
    <n v="154.80000000000001"/>
    <n v="632.1"/>
    <n v="632"/>
    <n v="5590"/>
    <n v="5787.9"/>
    <n v="0.45783103939250103"/>
  </r>
  <r>
    <s v="ORD-1737"/>
    <d v="2026-05-31T17:00:00"/>
    <s v="P-003"/>
    <s v="BR-10"/>
    <x v="0"/>
    <n v="131"/>
    <x v="0"/>
    <n v="150"/>
    <n v="65"/>
    <n v="1.8"/>
    <x v="0"/>
    <n v="4.5"/>
    <n v="0.05"/>
    <n v="0.02"/>
    <n v="19650"/>
    <n v="19257"/>
    <n v="235.8"/>
    <n v="962.85"/>
    <n v="963"/>
    <n v="8515"/>
    <n v="8816.15"/>
    <n v="0.45781533987640899"/>
  </r>
  <r>
    <s v="ORD-1749"/>
    <d v="2026-06-01T05:00:00"/>
    <s v="P-003"/>
    <s v="BR-10"/>
    <x v="2"/>
    <n v="88"/>
    <x v="0"/>
    <n v="150"/>
    <n v="65"/>
    <n v="1.8"/>
    <x v="0"/>
    <n v="4.5"/>
    <n v="0.05"/>
    <n v="0.05"/>
    <n v="13200"/>
    <n v="12540"/>
    <n v="158.4"/>
    <n v="627"/>
    <n v="627"/>
    <n v="5720"/>
    <n v="5566"/>
    <n v="0.44385964912280701"/>
  </r>
  <r>
    <s v="ORD-1751"/>
    <d v="2026-06-01T07:00:00"/>
    <s v="P-003"/>
    <s v="BR-10"/>
    <x v="0"/>
    <n v="171"/>
    <x v="0"/>
    <n v="150"/>
    <n v="65"/>
    <n v="1.8"/>
    <x v="0"/>
    <n v="4.5"/>
    <n v="0.05"/>
    <n v="0.02"/>
    <n v="25650"/>
    <n v="25137"/>
    <n v="307.8"/>
    <n v="1256.8500000000001"/>
    <n v="1257"/>
    <n v="11115"/>
    <n v="11508.15"/>
    <n v="0.4578171619525"/>
  </r>
  <r>
    <s v="ORD-1775"/>
    <d v="2026-06-02T07:00:00"/>
    <s v="P-003"/>
    <s v="BR-10"/>
    <x v="2"/>
    <n v="164"/>
    <x v="0"/>
    <n v="150"/>
    <n v="65"/>
    <n v="1.8"/>
    <x v="0"/>
    <n v="4.5"/>
    <n v="0.05"/>
    <n v="0.05"/>
    <n v="24600"/>
    <n v="23370"/>
    <n v="295.2"/>
    <n v="1168.5"/>
    <n v="1168"/>
    <n v="10660"/>
    <n v="10373.5"/>
    <n v="0.44388104407359902"/>
  </r>
  <r>
    <s v="ORD-1776"/>
    <d v="2026-06-02T08:00:00"/>
    <s v="P-003"/>
    <s v="BR-10"/>
    <x v="0"/>
    <n v="143"/>
    <x v="0"/>
    <n v="150"/>
    <n v="65"/>
    <n v="1.8"/>
    <x v="0"/>
    <n v="4.5"/>
    <n v="0.05"/>
    <n v="0.02"/>
    <n v="21450"/>
    <n v="21021"/>
    <n v="257.40000000000003"/>
    <n v="1051.05"/>
    <n v="1051"/>
    <n v="9295"/>
    <n v="9623.9500000000007"/>
    <n v="0.45782550782550802"/>
  </r>
  <r>
    <s v="ORD-1779"/>
    <d v="2026-06-02T11:00:00"/>
    <s v="P-003"/>
    <s v="BR-10"/>
    <x v="2"/>
    <n v="142"/>
    <x v="0"/>
    <n v="150"/>
    <n v="65"/>
    <n v="1.8"/>
    <x v="0"/>
    <n v="4.5"/>
    <n v="0.05"/>
    <n v="0.05"/>
    <n v="21300"/>
    <n v="20235"/>
    <n v="255.6"/>
    <n v="1011.75"/>
    <n v="1012"/>
    <n v="9230"/>
    <n v="8981.25"/>
    <n v="0.44384729429206798"/>
  </r>
  <r>
    <s v="ORD-1781"/>
    <d v="2026-06-02T13:00:00"/>
    <s v="P-003"/>
    <s v="BR-10"/>
    <x v="1"/>
    <n v="29"/>
    <x v="0"/>
    <n v="150"/>
    <n v="65"/>
    <n v="1.8"/>
    <x v="0"/>
    <n v="4.5"/>
    <n v="0.05"/>
    <n v="0.1"/>
    <n v="4350"/>
    <n v="3915"/>
    <n v="52.2"/>
    <n v="195.75"/>
    <n v="196"/>
    <n v="1885"/>
    <n v="1638.25"/>
    <n v="0.41845466155811001"/>
  </r>
  <r>
    <s v="ORD-1786"/>
    <d v="2026-06-02T18:00:00"/>
    <s v="P-003"/>
    <s v="BR-10"/>
    <x v="0"/>
    <n v="138"/>
    <x v="0"/>
    <n v="150"/>
    <n v="65"/>
    <n v="1.8"/>
    <x v="0"/>
    <n v="4.5"/>
    <n v="0.05"/>
    <n v="0.02"/>
    <n v="20700"/>
    <n v="20286"/>
    <n v="248.4"/>
    <n v="1014.3000000000001"/>
    <n v="1014"/>
    <n v="8970"/>
    <n v="9287.7000000000007"/>
    <n v="0.45783791777580601"/>
  </r>
  <r>
    <s v="ORD-1791"/>
    <d v="2026-06-02T23:00:00"/>
    <s v="P-003"/>
    <s v="BR-10"/>
    <x v="0"/>
    <n v="49"/>
    <x v="0"/>
    <n v="150"/>
    <n v="65"/>
    <n v="1.8"/>
    <x v="0"/>
    <n v="4.5"/>
    <n v="0.05"/>
    <n v="0.02"/>
    <n v="7350"/>
    <n v="7203"/>
    <n v="88.2"/>
    <n v="360.15000000000003"/>
    <n v="360"/>
    <n v="3185"/>
    <n v="3297.85"/>
    <n v="0.45784395390809401"/>
  </r>
  <r>
    <s v="ORD-1806"/>
    <d v="2026-06-03T14:00:00"/>
    <s v="P-003"/>
    <s v="BR-10"/>
    <x v="1"/>
    <n v="182"/>
    <x v="0"/>
    <n v="150"/>
    <n v="65"/>
    <n v="1.8"/>
    <x v="0"/>
    <n v="4.5"/>
    <n v="0.05"/>
    <n v="0.1"/>
    <n v="27300"/>
    <n v="24570"/>
    <n v="327.60000000000002"/>
    <n v="1228.5"/>
    <n v="1228"/>
    <n v="11830"/>
    <n v="10283.5"/>
    <n v="0.41853886853886801"/>
  </r>
  <r>
    <s v="ORD-1823"/>
    <d v="2026-06-04T07:00:00"/>
    <s v="P-003"/>
    <s v="BR-10"/>
    <x v="2"/>
    <n v="142"/>
    <x v="0"/>
    <n v="150"/>
    <n v="65"/>
    <n v="1.8"/>
    <x v="0"/>
    <n v="4.5"/>
    <n v="0.05"/>
    <n v="0.05"/>
    <n v="21300"/>
    <n v="20235"/>
    <n v="255.6"/>
    <n v="1011.75"/>
    <n v="1012"/>
    <n v="9230"/>
    <n v="8981.25"/>
    <n v="0.44384729429206798"/>
  </r>
  <r>
    <s v="ORD-1832"/>
    <d v="2026-06-04T16:00:00"/>
    <s v="P-003"/>
    <s v="BR-10"/>
    <x v="2"/>
    <n v="26"/>
    <x v="0"/>
    <n v="150"/>
    <n v="65"/>
    <n v="1.8"/>
    <x v="0"/>
    <n v="4.5"/>
    <n v="0.05"/>
    <n v="0.05"/>
    <n v="3900"/>
    <n v="3705"/>
    <n v="46.800000000000004"/>
    <n v="185.25"/>
    <n v="185"/>
    <n v="1690"/>
    <n v="1644.75"/>
    <n v="0.44392712550607299"/>
  </r>
  <r>
    <s v="ORD-1838"/>
    <d v="2026-06-04T22:00:00"/>
    <s v="P-003"/>
    <s v="BR-10"/>
    <x v="2"/>
    <n v="187"/>
    <x v="0"/>
    <n v="150"/>
    <n v="65"/>
    <n v="1.8"/>
    <x v="0"/>
    <n v="4.5"/>
    <n v="0.05"/>
    <n v="0.05"/>
    <n v="28050"/>
    <n v="26648"/>
    <n v="336.6"/>
    <n v="1332.4"/>
    <n v="1332"/>
    <n v="12155"/>
    <n v="11828.6"/>
    <n v="0.44388321825277699"/>
  </r>
  <r>
    <s v="ORD-1841"/>
    <d v="2026-06-05T01:00:00"/>
    <s v="P-003"/>
    <s v="BR-10"/>
    <x v="2"/>
    <n v="134"/>
    <x v="0"/>
    <n v="150"/>
    <n v="65"/>
    <n v="1.8"/>
    <x v="0"/>
    <n v="4.5"/>
    <n v="0.05"/>
    <n v="0.05"/>
    <n v="20100"/>
    <n v="19095"/>
    <n v="241.20000000000002"/>
    <n v="954.75"/>
    <n v="955"/>
    <n v="8710"/>
    <n v="8475.25"/>
    <n v="0.44384655669023299"/>
  </r>
  <r>
    <s v="ORD-1849"/>
    <d v="2026-06-05T09:00:00"/>
    <s v="P-003"/>
    <s v="BR-10"/>
    <x v="1"/>
    <n v="158"/>
    <x v="0"/>
    <n v="150"/>
    <n v="65"/>
    <n v="1.8"/>
    <x v="0"/>
    <n v="4.5"/>
    <n v="0.05"/>
    <n v="0.1"/>
    <n v="23700"/>
    <n v="21330"/>
    <n v="284.40000000000003"/>
    <n v="1066.5"/>
    <n v="1066"/>
    <n v="10270"/>
    <n v="8927.5"/>
    <n v="0.4185419596812"/>
  </r>
  <r>
    <s v="ORD-1853"/>
    <d v="2026-06-05T13:00:00"/>
    <s v="P-003"/>
    <s v="BR-10"/>
    <x v="1"/>
    <n v="156"/>
    <x v="0"/>
    <n v="150"/>
    <n v="65"/>
    <n v="1.8"/>
    <x v="0"/>
    <n v="4.5"/>
    <n v="0.05"/>
    <n v="0.1"/>
    <n v="23400"/>
    <n v="21060"/>
    <n v="280.8"/>
    <n v="1053"/>
    <n v="1053"/>
    <n v="10140"/>
    <n v="8814"/>
    <n v="0.41851851851851801"/>
  </r>
  <r>
    <s v="ORD-1856"/>
    <d v="2026-06-05T16:00:00"/>
    <s v="P-003"/>
    <s v="BR-10"/>
    <x v="0"/>
    <n v="151"/>
    <x v="0"/>
    <n v="150"/>
    <n v="65"/>
    <n v="1.8"/>
    <x v="0"/>
    <n v="4.5"/>
    <n v="0.05"/>
    <n v="0.02"/>
    <n v="22650"/>
    <n v="22197"/>
    <n v="271.8"/>
    <n v="1109.8500000000001"/>
    <n v="1110"/>
    <n v="9815"/>
    <n v="10162.15"/>
    <n v="0.45781637158174499"/>
  </r>
  <r>
    <s v="ORD-1884"/>
    <d v="2026-06-06T20:00:00"/>
    <s v="P-003"/>
    <s v="BR-10"/>
    <x v="1"/>
    <n v="162"/>
    <x v="0"/>
    <n v="150"/>
    <n v="65"/>
    <n v="1.8"/>
    <x v="0"/>
    <n v="4.5"/>
    <n v="0.05"/>
    <n v="0.1"/>
    <n v="24300"/>
    <n v="21870"/>
    <n v="291.60000000000002"/>
    <n v="1093.5"/>
    <n v="1094"/>
    <n v="10530"/>
    <n v="9152.5"/>
    <n v="0.41849565614997702"/>
  </r>
  <r>
    <s v="ORD-1889"/>
    <d v="2026-06-07T01:00:00"/>
    <s v="P-003"/>
    <s v="BR-10"/>
    <x v="0"/>
    <n v="182"/>
    <x v="0"/>
    <n v="150"/>
    <n v="65"/>
    <n v="1.8"/>
    <x v="0"/>
    <n v="4.5"/>
    <n v="0.05"/>
    <n v="0.02"/>
    <n v="27300"/>
    <n v="26754"/>
    <n v="327.60000000000002"/>
    <n v="1337.7"/>
    <n v="1338"/>
    <n v="11830"/>
    <n v="12248.3"/>
    <n v="0.45781191597518101"/>
  </r>
  <r>
    <s v="ORD-1896"/>
    <d v="2026-06-07T08:00:00"/>
    <s v="P-003"/>
    <s v="BR-10"/>
    <x v="0"/>
    <n v="71"/>
    <x v="0"/>
    <n v="150"/>
    <n v="65"/>
    <n v="1.8"/>
    <x v="0"/>
    <n v="4.5"/>
    <n v="0.05"/>
    <n v="0.02"/>
    <n v="10650"/>
    <n v="10437"/>
    <n v="127.8"/>
    <n v="521.85"/>
    <n v="522"/>
    <n v="4615"/>
    <n v="4778.1499999999996"/>
    <n v="0.457808757305739"/>
  </r>
  <r>
    <s v="ORD-1903"/>
    <d v="2026-06-07T15:00:00"/>
    <s v="P-003"/>
    <s v="BR-10"/>
    <x v="1"/>
    <n v="180"/>
    <x v="0"/>
    <n v="150"/>
    <n v="65"/>
    <n v="1.8"/>
    <x v="0"/>
    <n v="4.5"/>
    <n v="0.05"/>
    <n v="0.1"/>
    <n v="27000"/>
    <n v="24300"/>
    <n v="324"/>
    <n v="1215"/>
    <n v="1215"/>
    <n v="11700"/>
    <n v="10170"/>
    <n v="0.41851851851851801"/>
  </r>
  <r>
    <s v="ORD-1923"/>
    <d v="2026-06-08T11:00:00"/>
    <s v="P-003"/>
    <s v="BR-10"/>
    <x v="2"/>
    <n v="194"/>
    <x v="0"/>
    <n v="150"/>
    <n v="65"/>
    <n v="1.8"/>
    <x v="0"/>
    <n v="4.5"/>
    <n v="0.05"/>
    <n v="0.05"/>
    <n v="29100"/>
    <n v="27645"/>
    <n v="349.2"/>
    <n v="1382.25"/>
    <n v="1382"/>
    <n v="12610"/>
    <n v="12270.75"/>
    <n v="0.44386869234942999"/>
  </r>
  <r>
    <s v="ORD-1934"/>
    <d v="2026-06-08T22:00:00"/>
    <s v="P-003"/>
    <s v="BR-10"/>
    <x v="0"/>
    <n v="38"/>
    <x v="0"/>
    <n v="150"/>
    <n v="65"/>
    <n v="1.8"/>
    <x v="0"/>
    <n v="4.5"/>
    <n v="0.05"/>
    <n v="0.02"/>
    <n v="5700"/>
    <n v="5586"/>
    <n v="68.400000000000006"/>
    <n v="279.3"/>
    <n v="279"/>
    <n v="2470"/>
    <n v="2557.6999999999998"/>
    <n v="0.45787683494450399"/>
  </r>
  <r>
    <s v="ORD-1945"/>
    <d v="2026-06-09T09:00:00"/>
    <s v="P-003"/>
    <s v="BR-10"/>
    <x v="0"/>
    <n v="173"/>
    <x v="0"/>
    <n v="150"/>
    <n v="65"/>
    <n v="1.8"/>
    <x v="0"/>
    <n v="4.5"/>
    <n v="0.05"/>
    <n v="0.02"/>
    <n v="25950"/>
    <n v="25431"/>
    <n v="311.40000000000003"/>
    <n v="1271.5500000000002"/>
    <n v="1272"/>
    <n v="11245"/>
    <n v="11642.45"/>
    <n v="0.45780543431245302"/>
  </r>
  <r>
    <s v="ORD-1947"/>
    <d v="2026-06-09T11:00:00"/>
    <s v="P-003"/>
    <s v="BR-10"/>
    <x v="2"/>
    <n v="67"/>
    <x v="0"/>
    <n v="150"/>
    <n v="65"/>
    <n v="1.8"/>
    <x v="0"/>
    <n v="4.5"/>
    <n v="0.05"/>
    <n v="0.05"/>
    <n v="10050"/>
    <n v="9548"/>
    <n v="120.60000000000001"/>
    <n v="477.40000000000003"/>
    <n v="477"/>
    <n v="4355"/>
    <n v="4238.6000000000004"/>
    <n v="0.44392542940930002"/>
  </r>
  <r>
    <s v="ORD-1973"/>
    <d v="2026-06-10T13:00:00"/>
    <s v="P-003"/>
    <s v="BR-10"/>
    <x v="0"/>
    <n v="68"/>
    <x v="0"/>
    <n v="150"/>
    <n v="65"/>
    <n v="1.8"/>
    <x v="0"/>
    <n v="4.5"/>
    <n v="0.05"/>
    <n v="0.02"/>
    <n v="10200"/>
    <n v="9996"/>
    <n v="122.4"/>
    <n v="499.8"/>
    <n v="500"/>
    <n v="4420"/>
    <n v="4576.2"/>
    <n v="0.45780312124849898"/>
  </r>
  <r>
    <s v="ORD-1981"/>
    <d v="2026-06-10T21:00:00"/>
    <s v="P-003"/>
    <s v="BR-10"/>
    <x v="2"/>
    <n v="121"/>
    <x v="0"/>
    <n v="150"/>
    <n v="65"/>
    <n v="1.8"/>
    <x v="0"/>
    <n v="4.5"/>
    <n v="0.05"/>
    <n v="0.05"/>
    <n v="18150"/>
    <n v="17242"/>
    <n v="217.8"/>
    <n v="862.1"/>
    <n v="862"/>
    <n v="7865"/>
    <n v="7652.9"/>
    <n v="0.44385222132003199"/>
  </r>
  <r>
    <s v="ORD-1997"/>
    <d v="2026-06-11T13:00:00"/>
    <s v="P-003"/>
    <s v="BR-10"/>
    <x v="2"/>
    <n v="88"/>
    <x v="0"/>
    <n v="150"/>
    <n v="65"/>
    <n v="1.8"/>
    <x v="0"/>
    <n v="4.5"/>
    <n v="0.05"/>
    <n v="0.05"/>
    <n v="13200"/>
    <n v="12540"/>
    <n v="158.4"/>
    <n v="627"/>
    <n v="627"/>
    <n v="5720"/>
    <n v="5566"/>
    <n v="0.44385964912280701"/>
  </r>
  <r>
    <s v="ORD-1007"/>
    <d v="2026-05-01T07:00:00"/>
    <s v="P-003"/>
    <s v="BR-30"/>
    <x v="2"/>
    <n v="40"/>
    <x v="0"/>
    <n v="150"/>
    <n v="65"/>
    <n v="1.8"/>
    <x v="1"/>
    <n v="12.5"/>
    <n v="0.15"/>
    <n v="0.05"/>
    <n v="6000"/>
    <n v="5700"/>
    <n v="72"/>
    <n v="855"/>
    <n v="855"/>
    <n v="2600"/>
    <n v="1390"/>
    <n v="0.243859649122807"/>
  </r>
  <r>
    <s v="ORD-1009"/>
    <d v="2026-05-01T09:00:00"/>
    <s v="P-003"/>
    <s v="BR-30"/>
    <x v="0"/>
    <n v="131"/>
    <x v="0"/>
    <n v="150"/>
    <n v="65"/>
    <n v="1.8"/>
    <x v="1"/>
    <n v="12.5"/>
    <n v="0.15"/>
    <n v="0.02"/>
    <n v="19650"/>
    <n v="19257"/>
    <n v="235.8"/>
    <n v="2888.5499999999997"/>
    <n v="2889"/>
    <n v="8515"/>
    <n v="4964.4500000000007"/>
    <n v="0.25779976112582398"/>
  </r>
  <r>
    <s v="ORD-1014"/>
    <d v="2026-05-01T14:00:00"/>
    <s v="P-003"/>
    <s v="BR-30"/>
    <x v="2"/>
    <n v="122"/>
    <x v="0"/>
    <n v="150"/>
    <n v="65"/>
    <n v="1.8"/>
    <x v="1"/>
    <n v="12.5"/>
    <n v="0.15"/>
    <n v="0.05"/>
    <n v="18300"/>
    <n v="17385"/>
    <n v="219.6"/>
    <n v="2607.75"/>
    <n v="2608"/>
    <n v="7930"/>
    <n v="4239.25"/>
    <n v="0.24384526890998001"/>
  </r>
  <r>
    <s v="ORD-1025"/>
    <d v="2026-05-02T01:00:00"/>
    <s v="P-003"/>
    <s v="BR-30"/>
    <x v="1"/>
    <n v="132"/>
    <x v="0"/>
    <n v="150"/>
    <n v="65"/>
    <n v="1.8"/>
    <x v="1"/>
    <n v="12.5"/>
    <n v="0.15"/>
    <n v="0.1"/>
    <n v="19800"/>
    <n v="17820"/>
    <n v="237.6"/>
    <n v="2673"/>
    <n v="2673"/>
    <n v="8580"/>
    <n v="3894"/>
    <n v="0.218518518518519"/>
  </r>
  <r>
    <s v="ORD-1038"/>
    <d v="2026-05-02T14:00:00"/>
    <s v="P-003"/>
    <s v="BR-30"/>
    <x v="0"/>
    <n v="23"/>
    <x v="0"/>
    <n v="150"/>
    <n v="65"/>
    <n v="1.8"/>
    <x v="1"/>
    <n v="12.5"/>
    <n v="0.15"/>
    <n v="0.02"/>
    <n v="3450"/>
    <n v="3381"/>
    <n v="41.4"/>
    <n v="507.15"/>
    <n v="507"/>
    <n v="1495"/>
    <n v="871.84999999999991"/>
    <n v="0.257867494824017"/>
  </r>
  <r>
    <s v="ORD-1041"/>
    <d v="2026-05-02T17:00:00"/>
    <s v="P-003"/>
    <s v="BR-30"/>
    <x v="1"/>
    <n v="129"/>
    <x v="0"/>
    <n v="150"/>
    <n v="65"/>
    <n v="1.8"/>
    <x v="1"/>
    <n v="12.5"/>
    <n v="0.15"/>
    <n v="0.1"/>
    <n v="19350"/>
    <n v="17415"/>
    <n v="232.20000000000002"/>
    <n v="2612.25"/>
    <n v="2612"/>
    <n v="8385"/>
    <n v="3805.75"/>
    <n v="0.21853287395923099"/>
  </r>
  <r>
    <s v="ORD-1042"/>
    <d v="2026-05-02T18:00:00"/>
    <s v="P-003"/>
    <s v="BR-30"/>
    <x v="2"/>
    <n v="55"/>
    <x v="0"/>
    <n v="150"/>
    <n v="65"/>
    <n v="1.8"/>
    <x v="1"/>
    <n v="12.5"/>
    <n v="0.15"/>
    <n v="0.05"/>
    <n v="8250"/>
    <n v="7838"/>
    <n v="99"/>
    <n v="1175.7"/>
    <n v="1176"/>
    <n v="3575"/>
    <n v="1911.3000000000002"/>
    <n v="0.24385047205919899"/>
  </r>
  <r>
    <s v="ORD-1046"/>
    <d v="2026-05-02T22:00:00"/>
    <s v="P-003"/>
    <s v="BR-30"/>
    <x v="1"/>
    <n v="35"/>
    <x v="0"/>
    <n v="150"/>
    <n v="65"/>
    <n v="1.8"/>
    <x v="1"/>
    <n v="12.5"/>
    <n v="0.15"/>
    <n v="0.1"/>
    <n v="5250"/>
    <n v="4725"/>
    <n v="63"/>
    <n v="708.75"/>
    <n v="709"/>
    <n v="2275"/>
    <n v="1032.25"/>
    <n v="0.218465608465608"/>
  </r>
  <r>
    <s v="ORD-1049"/>
    <d v="2026-05-03T01:00:00"/>
    <s v="P-003"/>
    <s v="BR-30"/>
    <x v="0"/>
    <n v="164"/>
    <x v="0"/>
    <n v="150"/>
    <n v="65"/>
    <n v="1.8"/>
    <x v="1"/>
    <n v="12.5"/>
    <n v="0.15"/>
    <n v="0.02"/>
    <n v="24600"/>
    <n v="24108"/>
    <n v="295.2"/>
    <n v="3616.2"/>
    <n v="3616"/>
    <n v="10660"/>
    <n v="6215.7999999999993"/>
    <n v="0.25783142525302799"/>
  </r>
  <r>
    <s v="ORD-1050"/>
    <d v="2026-05-03T02:00:00"/>
    <s v="P-003"/>
    <s v="BR-30"/>
    <x v="0"/>
    <n v="162"/>
    <x v="0"/>
    <n v="150"/>
    <n v="65"/>
    <n v="1.8"/>
    <x v="1"/>
    <n v="12.5"/>
    <n v="0.15"/>
    <n v="0.02"/>
    <n v="24300"/>
    <n v="23814"/>
    <n v="291.60000000000002"/>
    <n v="3572.1"/>
    <n v="3572"/>
    <n v="10530"/>
    <n v="6139.9000000000015"/>
    <n v="0.25782732846224898"/>
  </r>
  <r>
    <s v="ORD-1069"/>
    <d v="2026-05-03T21:00:00"/>
    <s v="P-003"/>
    <s v="BR-30"/>
    <x v="1"/>
    <n v="71"/>
    <x v="0"/>
    <n v="150"/>
    <n v="65"/>
    <n v="1.8"/>
    <x v="1"/>
    <n v="12.5"/>
    <n v="0.15"/>
    <n v="0.1"/>
    <n v="10650"/>
    <n v="9585"/>
    <n v="127.8"/>
    <n v="1437.75"/>
    <n v="1438"/>
    <n v="4615"/>
    <n v="2094.25"/>
    <n v="0.21849243609807001"/>
  </r>
  <r>
    <s v="ORD-1072"/>
    <d v="2026-05-04T00:00:00"/>
    <s v="P-003"/>
    <s v="BR-30"/>
    <x v="1"/>
    <n v="66"/>
    <x v="0"/>
    <n v="150"/>
    <n v="65"/>
    <n v="1.8"/>
    <x v="1"/>
    <n v="12.5"/>
    <n v="0.15"/>
    <n v="0.1"/>
    <n v="9900"/>
    <n v="8910"/>
    <n v="118.8"/>
    <n v="1336.5"/>
    <n v="1336"/>
    <n v="4290"/>
    <n v="1947.5"/>
    <n v="0.218574635241302"/>
  </r>
  <r>
    <s v="ORD-1078"/>
    <d v="2026-05-04T06:00:00"/>
    <s v="P-003"/>
    <s v="BR-30"/>
    <x v="1"/>
    <n v="197"/>
    <x v="0"/>
    <n v="150"/>
    <n v="65"/>
    <n v="1.8"/>
    <x v="1"/>
    <n v="12.5"/>
    <n v="0.15"/>
    <n v="0.1"/>
    <n v="29550"/>
    <n v="26595"/>
    <n v="354.6"/>
    <n v="3989.25"/>
    <n v="3989"/>
    <n v="12805"/>
    <n v="5811.75"/>
    <n v="0.218527918781726"/>
  </r>
  <r>
    <s v="ORD-1095"/>
    <d v="2026-05-04T23:00:00"/>
    <s v="P-003"/>
    <s v="BR-30"/>
    <x v="0"/>
    <n v="117"/>
    <x v="0"/>
    <n v="150"/>
    <n v="65"/>
    <n v="1.8"/>
    <x v="1"/>
    <n v="12.5"/>
    <n v="0.15"/>
    <n v="0.02"/>
    <n v="17550"/>
    <n v="17199"/>
    <n v="210.6"/>
    <n v="2579.85"/>
    <n v="2580"/>
    <n v="7605"/>
    <n v="4434.1499999999996"/>
    <n v="0.25781440781440801"/>
  </r>
  <r>
    <s v="ORD-1097"/>
    <d v="2026-05-05T01:00:00"/>
    <s v="P-003"/>
    <s v="BR-30"/>
    <x v="1"/>
    <n v="91"/>
    <x v="0"/>
    <n v="150"/>
    <n v="65"/>
    <n v="1.8"/>
    <x v="1"/>
    <n v="12.5"/>
    <n v="0.15"/>
    <n v="0.1"/>
    <n v="13650"/>
    <n v="12285"/>
    <n v="163.80000000000001"/>
    <n v="1842.75"/>
    <n v="1843"/>
    <n v="5915"/>
    <n v="2684.25"/>
    <n v="0.218498168498168"/>
  </r>
  <r>
    <s v="ORD-1100"/>
    <d v="2026-05-05T04:00:00"/>
    <s v="P-003"/>
    <s v="BR-30"/>
    <x v="1"/>
    <n v="105"/>
    <x v="0"/>
    <n v="150"/>
    <n v="65"/>
    <n v="1.8"/>
    <x v="1"/>
    <n v="12.5"/>
    <n v="0.15"/>
    <n v="0.1"/>
    <n v="15750"/>
    <n v="14175"/>
    <n v="189"/>
    <n v="2126.25"/>
    <n v="2126"/>
    <n v="6825"/>
    <n v="3097.75"/>
    <n v="0.21853615520282199"/>
  </r>
  <r>
    <s v="ORD-1107"/>
    <d v="2026-05-05T11:00:00"/>
    <s v="P-003"/>
    <s v="BR-30"/>
    <x v="0"/>
    <n v="15"/>
    <x v="0"/>
    <n v="150"/>
    <n v="65"/>
    <n v="1.8"/>
    <x v="1"/>
    <n v="12.5"/>
    <n v="0.15"/>
    <n v="0.02"/>
    <n v="2250"/>
    <n v="2205"/>
    <n v="27"/>
    <n v="330.75"/>
    <n v="331"/>
    <n v="975"/>
    <n v="568.25"/>
    <n v="0.25770975056689299"/>
  </r>
  <r>
    <s v="ORD-1112"/>
    <d v="2026-05-05T16:00:00"/>
    <s v="P-003"/>
    <s v="BR-30"/>
    <x v="2"/>
    <n v="76"/>
    <x v="0"/>
    <n v="150"/>
    <n v="65"/>
    <n v="1.8"/>
    <x v="1"/>
    <n v="12.5"/>
    <n v="0.15"/>
    <n v="0.05"/>
    <n v="11400"/>
    <n v="10830"/>
    <n v="136.80000000000001"/>
    <n v="1624.5"/>
    <n v="1624"/>
    <n v="4940"/>
    <n v="2641.5"/>
    <n v="0.24390581717451501"/>
  </r>
  <r>
    <s v="ORD-1121"/>
    <d v="2026-05-06T01:00:00"/>
    <s v="P-003"/>
    <s v="BR-30"/>
    <x v="0"/>
    <n v="95"/>
    <x v="0"/>
    <n v="150"/>
    <n v="65"/>
    <n v="1.8"/>
    <x v="1"/>
    <n v="12.5"/>
    <n v="0.15"/>
    <n v="0.02"/>
    <n v="14250"/>
    <n v="13965"/>
    <n v="171"/>
    <n v="2094.75"/>
    <n v="2095"/>
    <n v="6175"/>
    <n v="3600.25"/>
    <n v="0.2578052273541"/>
  </r>
  <r>
    <s v="ORD-1132"/>
    <d v="2026-05-06T12:00:00"/>
    <s v="P-003"/>
    <s v="BR-30"/>
    <x v="1"/>
    <n v="28"/>
    <x v="0"/>
    <n v="150"/>
    <n v="65"/>
    <n v="1.8"/>
    <x v="1"/>
    <n v="12.5"/>
    <n v="0.15"/>
    <n v="0.1"/>
    <n v="4200"/>
    <n v="3780"/>
    <n v="50.4"/>
    <n v="567"/>
    <n v="567"/>
    <n v="1820"/>
    <n v="826"/>
    <n v="0.218518518518519"/>
  </r>
  <r>
    <s v="ORD-1139"/>
    <d v="2026-05-06T19:00:00"/>
    <s v="P-003"/>
    <s v="BR-30"/>
    <x v="1"/>
    <n v="13"/>
    <x v="0"/>
    <n v="150"/>
    <n v="65"/>
    <n v="1.8"/>
    <x v="1"/>
    <n v="12.5"/>
    <n v="0.15"/>
    <n v="0.1"/>
    <n v="1950"/>
    <n v="1755"/>
    <n v="23.400000000000002"/>
    <n v="263.25"/>
    <n v="263"/>
    <n v="845"/>
    <n v="383.75"/>
    <n v="0.21866096866096901"/>
  </r>
  <r>
    <s v="ORD-1151"/>
    <d v="2026-05-07T07:00:00"/>
    <s v="P-003"/>
    <s v="BR-30"/>
    <x v="1"/>
    <n v="86"/>
    <x v="0"/>
    <n v="150"/>
    <n v="65"/>
    <n v="1.8"/>
    <x v="1"/>
    <n v="12.5"/>
    <n v="0.15"/>
    <n v="0.1"/>
    <n v="12900"/>
    <n v="11610"/>
    <n v="154.80000000000001"/>
    <n v="1741.5"/>
    <n v="1742"/>
    <n v="5590"/>
    <n v="2536.5"/>
    <n v="0.21847545219638201"/>
  </r>
  <r>
    <s v="ORD-1153"/>
    <d v="2026-05-07T09:00:00"/>
    <s v="P-003"/>
    <s v="BR-30"/>
    <x v="1"/>
    <n v="175"/>
    <x v="0"/>
    <n v="150"/>
    <n v="65"/>
    <n v="1.8"/>
    <x v="1"/>
    <n v="12.5"/>
    <n v="0.15"/>
    <n v="0.1"/>
    <n v="26250"/>
    <n v="23625"/>
    <n v="315"/>
    <n v="3543.75"/>
    <n v="3544"/>
    <n v="11375"/>
    <n v="5162.25"/>
    <n v="0.21850793650793601"/>
  </r>
  <r>
    <s v="ORD-1173"/>
    <d v="2026-05-08T05:00:00"/>
    <s v="P-003"/>
    <s v="BR-30"/>
    <x v="1"/>
    <n v="48"/>
    <x v="0"/>
    <n v="150"/>
    <n v="65"/>
    <n v="1.8"/>
    <x v="1"/>
    <n v="12.5"/>
    <n v="0.15"/>
    <n v="0.1"/>
    <n v="7200"/>
    <n v="6480"/>
    <n v="86.4"/>
    <n v="972"/>
    <n v="972"/>
    <n v="3120"/>
    <n v="1416"/>
    <n v="0.218518518518519"/>
  </r>
  <r>
    <s v="ORD-1189"/>
    <d v="2026-05-08T21:00:00"/>
    <s v="P-003"/>
    <s v="BR-30"/>
    <x v="2"/>
    <n v="112"/>
    <x v="0"/>
    <n v="150"/>
    <n v="65"/>
    <n v="1.8"/>
    <x v="1"/>
    <n v="12.5"/>
    <n v="0.15"/>
    <n v="0.05"/>
    <n v="16800"/>
    <n v="15960"/>
    <n v="201.6"/>
    <n v="2394"/>
    <n v="2394"/>
    <n v="7280"/>
    <n v="3892"/>
    <n v="0.243859649122807"/>
  </r>
  <r>
    <s v="ORD-1195"/>
    <d v="2026-05-09T03:00:00"/>
    <s v="P-003"/>
    <s v="BR-30"/>
    <x v="2"/>
    <n v="42"/>
    <x v="0"/>
    <n v="150"/>
    <n v="65"/>
    <n v="1.8"/>
    <x v="1"/>
    <n v="12.5"/>
    <n v="0.15"/>
    <n v="0.05"/>
    <n v="6300"/>
    <n v="5985"/>
    <n v="75.600000000000009"/>
    <n v="897.75"/>
    <n v="898"/>
    <n v="2730"/>
    <n v="1459.25"/>
    <n v="0.24381787802840399"/>
  </r>
  <r>
    <s v="ORD-1202"/>
    <d v="2026-05-09T10:00:00"/>
    <s v="P-003"/>
    <s v="BR-30"/>
    <x v="2"/>
    <n v="76"/>
    <x v="0"/>
    <n v="150"/>
    <n v="65"/>
    <n v="1.8"/>
    <x v="1"/>
    <n v="12.5"/>
    <n v="0.15"/>
    <n v="0.05"/>
    <n v="11400"/>
    <n v="10830"/>
    <n v="136.80000000000001"/>
    <n v="1624.5"/>
    <n v="1624"/>
    <n v="4940"/>
    <n v="2641.5"/>
    <n v="0.24390581717451501"/>
  </r>
  <r>
    <s v="ORD-1205"/>
    <d v="2026-05-09T13:00:00"/>
    <s v="P-003"/>
    <s v="BR-30"/>
    <x v="0"/>
    <n v="183"/>
    <x v="0"/>
    <n v="150"/>
    <n v="65"/>
    <n v="1.8"/>
    <x v="1"/>
    <n v="12.5"/>
    <n v="0.15"/>
    <n v="0.02"/>
    <n v="27450"/>
    <n v="26901"/>
    <n v="329.40000000000003"/>
    <n v="4035.1499999999996"/>
    <n v="4035"/>
    <n v="11895"/>
    <n v="6935.8499999999985"/>
    <n v="0.25782870525259299"/>
  </r>
  <r>
    <s v="ORD-1216"/>
    <d v="2026-05-10T00:00:00"/>
    <s v="P-003"/>
    <s v="BR-30"/>
    <x v="0"/>
    <n v="73"/>
    <x v="0"/>
    <n v="150"/>
    <n v="65"/>
    <n v="1.8"/>
    <x v="1"/>
    <n v="12.5"/>
    <n v="0.15"/>
    <n v="0.02"/>
    <n v="10950"/>
    <n v="10731"/>
    <n v="131.4"/>
    <n v="1609.6499999999999"/>
    <n v="1610"/>
    <n v="4745"/>
    <n v="2766.3500000000004"/>
    <n v="0.25779051346566001"/>
  </r>
  <r>
    <s v="ORD-1219"/>
    <d v="2026-05-10T03:00:00"/>
    <s v="P-003"/>
    <s v="BR-30"/>
    <x v="1"/>
    <n v="49"/>
    <x v="0"/>
    <n v="150"/>
    <n v="65"/>
    <n v="1.8"/>
    <x v="1"/>
    <n v="12.5"/>
    <n v="0.15"/>
    <n v="0.1"/>
    <n v="7350"/>
    <n v="6615"/>
    <n v="88.2"/>
    <n v="992.25"/>
    <n v="992"/>
    <n v="3185"/>
    <n v="1445.75"/>
    <n v="0.218556311413454"/>
  </r>
  <r>
    <s v="ORD-1235"/>
    <d v="2026-05-10T19:00:00"/>
    <s v="P-003"/>
    <s v="BR-30"/>
    <x v="1"/>
    <n v="96"/>
    <x v="0"/>
    <n v="150"/>
    <n v="65"/>
    <n v="1.8"/>
    <x v="1"/>
    <n v="12.5"/>
    <n v="0.15"/>
    <n v="0.1"/>
    <n v="14400"/>
    <n v="12960"/>
    <n v="172.8"/>
    <n v="1944"/>
    <n v="1944"/>
    <n v="6240"/>
    <n v="2832"/>
    <n v="0.218518518518519"/>
  </r>
  <r>
    <s v="ORD-1238"/>
    <d v="2026-05-10T22:00:00"/>
    <s v="P-003"/>
    <s v="BR-30"/>
    <x v="0"/>
    <n v="19"/>
    <x v="0"/>
    <n v="150"/>
    <n v="65"/>
    <n v="1.8"/>
    <x v="1"/>
    <n v="12.5"/>
    <n v="0.15"/>
    <n v="0.02"/>
    <n v="2850"/>
    <n v="2793"/>
    <n v="34.200000000000003"/>
    <n v="418.95"/>
    <n v="419"/>
    <n v="1235"/>
    <n v="720.05000000000018"/>
    <n v="0.2578052273541"/>
  </r>
  <r>
    <s v="ORD-1242"/>
    <d v="2026-05-11T02:00:00"/>
    <s v="P-003"/>
    <s v="BR-30"/>
    <x v="1"/>
    <n v="189"/>
    <x v="0"/>
    <n v="150"/>
    <n v="65"/>
    <n v="1.8"/>
    <x v="1"/>
    <n v="12.5"/>
    <n v="0.15"/>
    <n v="0.1"/>
    <n v="28350"/>
    <n v="25515"/>
    <n v="340.2"/>
    <n v="3827.25"/>
    <n v="3827"/>
    <n v="12285"/>
    <n v="5575.75"/>
    <n v="0.218528316676465"/>
  </r>
  <r>
    <s v="ORD-1260"/>
    <d v="2026-05-11T20:00:00"/>
    <s v="P-003"/>
    <s v="BR-30"/>
    <x v="0"/>
    <n v="76"/>
    <x v="0"/>
    <n v="150"/>
    <n v="65"/>
    <n v="1.8"/>
    <x v="1"/>
    <n v="12.5"/>
    <n v="0.15"/>
    <n v="0.02"/>
    <n v="11400"/>
    <n v="11172"/>
    <n v="136.80000000000001"/>
    <n v="1675.8"/>
    <n v="1676"/>
    <n v="4940"/>
    <n v="2880.2000000000007"/>
    <n v="0.2578052273541"/>
  </r>
  <r>
    <s v="ORD-1284"/>
    <d v="2026-05-12T20:00:00"/>
    <s v="P-003"/>
    <s v="BR-30"/>
    <x v="0"/>
    <n v="197"/>
    <x v="0"/>
    <n v="150"/>
    <n v="65"/>
    <n v="1.8"/>
    <x v="1"/>
    <n v="12.5"/>
    <n v="0.15"/>
    <n v="0.02"/>
    <n v="29550"/>
    <n v="28959"/>
    <n v="354.6"/>
    <n v="4343.8499999999995"/>
    <n v="4344"/>
    <n v="12805"/>
    <n v="7466.1500000000015"/>
    <n v="0.257817949514831"/>
  </r>
  <r>
    <s v="ORD-1298"/>
    <d v="2026-05-13T10:00:00"/>
    <s v="P-003"/>
    <s v="BR-30"/>
    <x v="1"/>
    <n v="29"/>
    <x v="0"/>
    <n v="150"/>
    <n v="65"/>
    <n v="1.8"/>
    <x v="1"/>
    <n v="12.5"/>
    <n v="0.15"/>
    <n v="0.1"/>
    <n v="4350"/>
    <n v="3915"/>
    <n v="52.2"/>
    <n v="587.25"/>
    <n v="587"/>
    <n v="1885"/>
    <n v="855.75"/>
    <n v="0.218582375478927"/>
  </r>
  <r>
    <s v="ORD-1300"/>
    <d v="2026-05-13T12:00:00"/>
    <s v="P-003"/>
    <s v="BR-30"/>
    <x v="1"/>
    <n v="84"/>
    <x v="0"/>
    <n v="150"/>
    <n v="65"/>
    <n v="1.8"/>
    <x v="1"/>
    <n v="12.5"/>
    <n v="0.15"/>
    <n v="0.1"/>
    <n v="12600"/>
    <n v="11340"/>
    <n v="151.20000000000002"/>
    <n v="1701"/>
    <n v="1701"/>
    <n v="5460"/>
    <n v="2478"/>
    <n v="0.218518518518519"/>
  </r>
  <r>
    <s v="ORD-1308"/>
    <d v="2026-05-13T20:00:00"/>
    <s v="P-003"/>
    <s v="BR-30"/>
    <x v="2"/>
    <n v="192"/>
    <x v="0"/>
    <n v="150"/>
    <n v="65"/>
    <n v="1.8"/>
    <x v="1"/>
    <n v="12.5"/>
    <n v="0.15"/>
    <n v="0.05"/>
    <n v="28800"/>
    <n v="27360"/>
    <n v="345.6"/>
    <n v="4104"/>
    <n v="4104"/>
    <n v="12480"/>
    <n v="6672"/>
    <n v="0.243859649122807"/>
  </r>
  <r>
    <s v="ORD-1309"/>
    <d v="2026-05-13T21:00:00"/>
    <s v="P-003"/>
    <s v="BR-30"/>
    <x v="0"/>
    <n v="11"/>
    <x v="0"/>
    <n v="150"/>
    <n v="65"/>
    <n v="1.8"/>
    <x v="1"/>
    <n v="12.5"/>
    <n v="0.15"/>
    <n v="0.02"/>
    <n v="1650"/>
    <n v="1617"/>
    <n v="19.8"/>
    <n v="242.54999999999998"/>
    <n v="243"/>
    <n v="715"/>
    <n v="416.45000000000005"/>
    <n v="0.257544836116265"/>
  </r>
  <r>
    <s v="ORD-1315"/>
    <d v="2026-05-14T03:00:00"/>
    <s v="P-003"/>
    <s v="BR-30"/>
    <x v="0"/>
    <n v="115"/>
    <x v="0"/>
    <n v="150"/>
    <n v="65"/>
    <n v="1.8"/>
    <x v="1"/>
    <n v="12.5"/>
    <n v="0.15"/>
    <n v="0.02"/>
    <n v="17250"/>
    <n v="16905"/>
    <n v="207"/>
    <n v="2535.75"/>
    <n v="2536"/>
    <n v="7475"/>
    <n v="4358.25"/>
    <n v="0.25780834072759501"/>
  </r>
  <r>
    <s v="ORD-1320"/>
    <d v="2026-05-14T08:00:00"/>
    <s v="P-003"/>
    <s v="BR-30"/>
    <x v="0"/>
    <n v="59"/>
    <x v="0"/>
    <n v="150"/>
    <n v="65"/>
    <n v="1.8"/>
    <x v="1"/>
    <n v="12.5"/>
    <n v="0.15"/>
    <n v="0.02"/>
    <n v="8850"/>
    <n v="8673"/>
    <n v="106.2"/>
    <n v="1300.95"/>
    <n v="1301"/>
    <n v="3835"/>
    <n v="2236.0500000000002"/>
    <n v="0.25781736423382901"/>
  </r>
  <r>
    <s v="ORD-1322"/>
    <d v="2026-05-14T10:00:00"/>
    <s v="P-003"/>
    <s v="BR-30"/>
    <x v="1"/>
    <n v="61"/>
    <x v="0"/>
    <n v="150"/>
    <n v="65"/>
    <n v="1.8"/>
    <x v="1"/>
    <n v="12.5"/>
    <n v="0.15"/>
    <n v="0.1"/>
    <n v="9150"/>
    <n v="8235"/>
    <n v="109.8"/>
    <n v="1235.25"/>
    <n v="1235"/>
    <n v="3965"/>
    <n v="1799.75"/>
    <n v="0.218548876745598"/>
  </r>
  <r>
    <s v="ORD-1323"/>
    <d v="2026-05-14T11:00:00"/>
    <s v="P-003"/>
    <s v="BR-30"/>
    <x v="1"/>
    <n v="161"/>
    <x v="0"/>
    <n v="150"/>
    <n v="65"/>
    <n v="1.8"/>
    <x v="1"/>
    <n v="12.5"/>
    <n v="0.15"/>
    <n v="0.1"/>
    <n v="24150"/>
    <n v="21735"/>
    <n v="289.8"/>
    <n v="3260.25"/>
    <n v="3260"/>
    <n v="10465"/>
    <n v="4749.75"/>
    <n v="0.21853002070393401"/>
  </r>
  <r>
    <s v="ORD-1340"/>
    <d v="2026-05-15T04:00:00"/>
    <s v="P-003"/>
    <s v="BR-30"/>
    <x v="0"/>
    <n v="24"/>
    <x v="0"/>
    <n v="150"/>
    <n v="65"/>
    <n v="1.8"/>
    <x v="1"/>
    <n v="12.5"/>
    <n v="0.15"/>
    <n v="0.02"/>
    <n v="3600"/>
    <n v="3528"/>
    <n v="43.2"/>
    <n v="529.19999999999993"/>
    <n v="529"/>
    <n v="1560"/>
    <n v="909.80000000000018"/>
    <n v="0.25787981859410403"/>
  </r>
  <r>
    <s v="ORD-1343"/>
    <d v="2026-05-15T07:00:00"/>
    <s v="P-003"/>
    <s v="BR-30"/>
    <x v="1"/>
    <n v="128"/>
    <x v="0"/>
    <n v="150"/>
    <n v="65"/>
    <n v="1.8"/>
    <x v="1"/>
    <n v="12.5"/>
    <n v="0.15"/>
    <n v="0.1"/>
    <n v="19200"/>
    <n v="17280"/>
    <n v="230.4"/>
    <n v="2592"/>
    <n v="2592"/>
    <n v="8320"/>
    <n v="3776"/>
    <n v="0.218518518518519"/>
  </r>
  <r>
    <s v="ORD-1346"/>
    <d v="2026-05-15T10:00:00"/>
    <s v="P-003"/>
    <s v="BR-30"/>
    <x v="1"/>
    <n v="160"/>
    <x v="0"/>
    <n v="150"/>
    <n v="65"/>
    <n v="1.8"/>
    <x v="1"/>
    <n v="12.5"/>
    <n v="0.15"/>
    <n v="0.1"/>
    <n v="24000"/>
    <n v="21600"/>
    <n v="288"/>
    <n v="3240"/>
    <n v="3240"/>
    <n v="10400"/>
    <n v="4720"/>
    <n v="0.218518518518519"/>
  </r>
  <r>
    <s v="ORD-1358"/>
    <d v="2026-05-15T22:00:00"/>
    <s v="P-003"/>
    <s v="BR-30"/>
    <x v="2"/>
    <n v="120"/>
    <x v="0"/>
    <n v="150"/>
    <n v="65"/>
    <n v="1.8"/>
    <x v="1"/>
    <n v="12.5"/>
    <n v="0.15"/>
    <n v="0.05"/>
    <n v="18000"/>
    <n v="17100"/>
    <n v="216"/>
    <n v="2565"/>
    <n v="2565"/>
    <n v="7800"/>
    <n v="4170"/>
    <n v="0.243859649122807"/>
  </r>
  <r>
    <s v="ORD-1359"/>
    <d v="2026-05-15T23:00:00"/>
    <s v="P-003"/>
    <s v="BR-30"/>
    <x v="0"/>
    <n v="57"/>
    <x v="0"/>
    <n v="150"/>
    <n v="65"/>
    <n v="1.8"/>
    <x v="1"/>
    <n v="12.5"/>
    <n v="0.15"/>
    <n v="0.02"/>
    <n v="8550"/>
    <n v="8379"/>
    <n v="102.60000000000001"/>
    <n v="1256.8499999999999"/>
    <n v="1257"/>
    <n v="3705"/>
    <n v="2160.1499999999996"/>
    <n v="0.2578052273541"/>
  </r>
  <r>
    <s v="ORD-1366"/>
    <d v="2026-05-16T06:00:00"/>
    <s v="P-003"/>
    <s v="BR-30"/>
    <x v="2"/>
    <n v="60"/>
    <x v="0"/>
    <n v="150"/>
    <n v="65"/>
    <n v="1.8"/>
    <x v="1"/>
    <n v="12.5"/>
    <n v="0.15"/>
    <n v="0.05"/>
    <n v="9000"/>
    <n v="8550"/>
    <n v="108"/>
    <n v="1282.5"/>
    <n v="1282"/>
    <n v="3900"/>
    <n v="2085.5"/>
    <n v="0.24391812865497101"/>
  </r>
  <r>
    <s v="ORD-1370"/>
    <d v="2026-05-16T10:00:00"/>
    <s v="P-003"/>
    <s v="BR-30"/>
    <x v="2"/>
    <n v="188"/>
    <x v="0"/>
    <n v="150"/>
    <n v="65"/>
    <n v="1.8"/>
    <x v="1"/>
    <n v="12.5"/>
    <n v="0.15"/>
    <n v="0.05"/>
    <n v="28200"/>
    <n v="26790"/>
    <n v="338.40000000000003"/>
    <n v="4018.5"/>
    <n v="4018"/>
    <n v="12220"/>
    <n v="6533.5"/>
    <n v="0.24387831280328501"/>
  </r>
  <r>
    <s v="ORD-1384"/>
    <d v="2026-05-17T00:00:00"/>
    <s v="P-003"/>
    <s v="BR-30"/>
    <x v="0"/>
    <n v="184"/>
    <x v="0"/>
    <n v="150"/>
    <n v="65"/>
    <n v="1.8"/>
    <x v="1"/>
    <n v="12.5"/>
    <n v="0.15"/>
    <n v="0.02"/>
    <n v="27600"/>
    <n v="27048"/>
    <n v="331.2"/>
    <n v="4057.2"/>
    <n v="4057"/>
    <n v="11960"/>
    <n v="6973.7999999999993"/>
    <n v="0.25783052351375302"/>
  </r>
  <r>
    <s v="ORD-1387"/>
    <d v="2026-05-17T03:00:00"/>
    <s v="P-003"/>
    <s v="BR-30"/>
    <x v="1"/>
    <n v="85"/>
    <x v="0"/>
    <n v="150"/>
    <n v="65"/>
    <n v="1.8"/>
    <x v="1"/>
    <n v="12.5"/>
    <n v="0.15"/>
    <n v="0.1"/>
    <n v="12750"/>
    <n v="11475"/>
    <n v="153"/>
    <n v="1721.25"/>
    <n v="1721"/>
    <n v="5525"/>
    <n v="2507.75"/>
    <n v="0.218540305010893"/>
  </r>
  <r>
    <s v="ORD-1392"/>
    <d v="2026-05-17T08:00:00"/>
    <s v="P-003"/>
    <s v="BR-30"/>
    <x v="1"/>
    <n v="133"/>
    <x v="0"/>
    <n v="150"/>
    <n v="65"/>
    <n v="1.8"/>
    <x v="1"/>
    <n v="12.5"/>
    <n v="0.15"/>
    <n v="0.1"/>
    <n v="19950"/>
    <n v="17955"/>
    <n v="239.4"/>
    <n v="2693.25"/>
    <n v="2693"/>
    <n v="8645"/>
    <n v="3923.75"/>
    <n v="0.21853244221665299"/>
  </r>
  <r>
    <s v="ORD-1401"/>
    <d v="2026-05-17T17:00:00"/>
    <s v="P-003"/>
    <s v="BR-30"/>
    <x v="2"/>
    <n v="111"/>
    <x v="0"/>
    <n v="150"/>
    <n v="65"/>
    <n v="1.8"/>
    <x v="1"/>
    <n v="12.5"/>
    <n v="0.15"/>
    <n v="0.05"/>
    <n v="16650"/>
    <n v="15818"/>
    <n v="199.8"/>
    <n v="2372.6999999999998"/>
    <n v="2373"/>
    <n v="7215"/>
    <n v="3857.2999999999993"/>
    <n v="0.243855101782779"/>
  </r>
  <r>
    <s v="ORD-1408"/>
    <d v="2026-05-18T00:00:00"/>
    <s v="P-003"/>
    <s v="BR-30"/>
    <x v="2"/>
    <n v="143"/>
    <x v="0"/>
    <n v="150"/>
    <n v="65"/>
    <n v="1.8"/>
    <x v="1"/>
    <n v="12.5"/>
    <n v="0.15"/>
    <n v="0.05"/>
    <n v="21450"/>
    <n v="20378"/>
    <n v="257.40000000000003"/>
    <n v="3056.7"/>
    <n v="3057"/>
    <n v="9295"/>
    <n v="4969.2999999999993"/>
    <n v="0.243856119344391"/>
  </r>
  <r>
    <s v="ORD-1410"/>
    <d v="2026-05-18T02:00:00"/>
    <s v="P-003"/>
    <s v="BR-30"/>
    <x v="1"/>
    <n v="23"/>
    <x v="0"/>
    <n v="150"/>
    <n v="65"/>
    <n v="1.8"/>
    <x v="1"/>
    <n v="12.5"/>
    <n v="0.15"/>
    <n v="0.1"/>
    <n v="3450"/>
    <n v="3105"/>
    <n v="41.4"/>
    <n v="465.75"/>
    <n v="466"/>
    <n v="1495"/>
    <n v="678.25"/>
    <n v="0.21843800322061199"/>
  </r>
  <r>
    <s v="ORD-1412"/>
    <d v="2026-05-18T04:00:00"/>
    <s v="P-003"/>
    <s v="BR-30"/>
    <x v="1"/>
    <n v="73"/>
    <x v="0"/>
    <n v="150"/>
    <n v="65"/>
    <n v="1.8"/>
    <x v="1"/>
    <n v="12.5"/>
    <n v="0.15"/>
    <n v="0.1"/>
    <n v="10950"/>
    <n v="9855"/>
    <n v="131.4"/>
    <n v="1478.25"/>
    <n v="1478"/>
    <n v="4745"/>
    <n v="2153.75"/>
    <n v="0.218543886352106"/>
  </r>
  <r>
    <s v="ORD-1430"/>
    <d v="2026-05-18T22:00:00"/>
    <s v="P-003"/>
    <s v="BR-30"/>
    <x v="2"/>
    <n v="45"/>
    <x v="0"/>
    <n v="150"/>
    <n v="65"/>
    <n v="1.8"/>
    <x v="1"/>
    <n v="12.5"/>
    <n v="0.15"/>
    <n v="0.05"/>
    <n v="6750"/>
    <n v="6412"/>
    <n v="81"/>
    <n v="961.8"/>
    <n v="962"/>
    <n v="2925"/>
    <n v="1563.1999999999998"/>
    <n v="0.24379288833437299"/>
  </r>
  <r>
    <s v="ORD-1431"/>
    <d v="2026-05-18T23:00:00"/>
    <s v="P-003"/>
    <s v="BR-30"/>
    <x v="0"/>
    <n v="37"/>
    <x v="0"/>
    <n v="150"/>
    <n v="65"/>
    <n v="1.8"/>
    <x v="1"/>
    <n v="12.5"/>
    <n v="0.15"/>
    <n v="0.02"/>
    <n v="5550"/>
    <n v="5439"/>
    <n v="66.600000000000009"/>
    <n v="815.85"/>
    <n v="816"/>
    <n v="2405"/>
    <n v="1402.15"/>
    <n v="0.25779555065269399"/>
  </r>
  <r>
    <s v="ORD-1450"/>
    <d v="2026-05-19T18:00:00"/>
    <s v="P-003"/>
    <s v="BR-30"/>
    <x v="2"/>
    <n v="173"/>
    <x v="0"/>
    <n v="150"/>
    <n v="65"/>
    <n v="1.8"/>
    <x v="1"/>
    <n v="12.5"/>
    <n v="0.15"/>
    <n v="0.05"/>
    <n v="25950"/>
    <n v="24652"/>
    <n v="311.40000000000003"/>
    <n v="3697.7999999999997"/>
    <n v="3698"/>
    <n v="11245"/>
    <n v="6011.2000000000007"/>
    <n v="0.243842284601655"/>
  </r>
  <r>
    <s v="ORD-1459"/>
    <d v="2026-05-20T03:00:00"/>
    <s v="P-003"/>
    <s v="BR-30"/>
    <x v="0"/>
    <n v="84"/>
    <x v="0"/>
    <n v="150"/>
    <n v="65"/>
    <n v="1.8"/>
    <x v="1"/>
    <n v="12.5"/>
    <n v="0.15"/>
    <n v="0.02"/>
    <n v="12600"/>
    <n v="12348"/>
    <n v="151.20000000000002"/>
    <n v="1852.1999999999998"/>
    <n v="1852"/>
    <n v="5460"/>
    <n v="3183.7999999999993"/>
    <n v="0.25783932620667299"/>
  </r>
  <r>
    <s v="ORD-1465"/>
    <d v="2026-05-20T09:00:00"/>
    <s v="P-003"/>
    <s v="BR-30"/>
    <x v="2"/>
    <n v="137"/>
    <x v="0"/>
    <n v="150"/>
    <n v="65"/>
    <n v="1.8"/>
    <x v="1"/>
    <n v="12.5"/>
    <n v="0.15"/>
    <n v="0.05"/>
    <n v="20550"/>
    <n v="19522"/>
    <n v="246.6"/>
    <n v="2928.2999999999997"/>
    <n v="2928"/>
    <n v="8905"/>
    <n v="4760.7000000000007"/>
    <n v="0.24386333367482799"/>
  </r>
  <r>
    <s v="ORD-1474"/>
    <d v="2026-05-20T18:00:00"/>
    <s v="P-003"/>
    <s v="BR-30"/>
    <x v="2"/>
    <n v="171"/>
    <x v="0"/>
    <n v="150"/>
    <n v="65"/>
    <n v="1.8"/>
    <x v="1"/>
    <n v="12.5"/>
    <n v="0.15"/>
    <n v="0.05"/>
    <n v="25650"/>
    <n v="24368"/>
    <n v="307.8"/>
    <n v="3655.2"/>
    <n v="3655"/>
    <n v="11115"/>
    <n v="5942.7999999999993"/>
    <n v="0.24387721602101101"/>
  </r>
  <r>
    <s v="ORD-1482"/>
    <d v="2026-05-21T02:00:00"/>
    <s v="P-003"/>
    <s v="BR-30"/>
    <x v="0"/>
    <n v="128"/>
    <x v="0"/>
    <n v="150"/>
    <n v="65"/>
    <n v="1.8"/>
    <x v="1"/>
    <n v="12.5"/>
    <n v="0.15"/>
    <n v="0.02"/>
    <n v="19200"/>
    <n v="18816"/>
    <n v="230.4"/>
    <n v="2822.4"/>
    <n v="2822"/>
    <n v="8320"/>
    <n v="4851.6000000000004"/>
    <n v="0.25784438775510199"/>
  </r>
  <r>
    <s v="ORD-1499"/>
    <d v="2026-05-21T19:00:00"/>
    <s v="P-003"/>
    <s v="BR-30"/>
    <x v="0"/>
    <n v="55"/>
    <x v="0"/>
    <n v="150"/>
    <n v="65"/>
    <n v="1.8"/>
    <x v="1"/>
    <n v="12.5"/>
    <n v="0.15"/>
    <n v="0.02"/>
    <n v="8250"/>
    <n v="8085"/>
    <n v="99"/>
    <n v="1212.75"/>
    <n v="1213"/>
    <n v="3575"/>
    <n v="2084.25"/>
    <n v="0.25779220779220802"/>
  </r>
  <r>
    <s v="ORD-1516"/>
    <d v="2026-05-22T12:00:00"/>
    <s v="P-003"/>
    <s v="BR-30"/>
    <x v="1"/>
    <n v="21"/>
    <x v="0"/>
    <n v="150"/>
    <n v="65"/>
    <n v="1.8"/>
    <x v="1"/>
    <n v="12.5"/>
    <n v="0.15"/>
    <n v="0.1"/>
    <n v="3150"/>
    <n v="2835"/>
    <n v="37.800000000000004"/>
    <n v="425.25"/>
    <n v="425"/>
    <n v="1365"/>
    <n v="619.75"/>
    <n v="0.21860670194003501"/>
  </r>
  <r>
    <s v="ORD-1517"/>
    <d v="2026-05-22T13:00:00"/>
    <s v="P-003"/>
    <s v="BR-30"/>
    <x v="0"/>
    <n v="174"/>
    <x v="0"/>
    <n v="150"/>
    <n v="65"/>
    <n v="1.8"/>
    <x v="1"/>
    <n v="12.5"/>
    <n v="0.15"/>
    <n v="0.02"/>
    <n v="26100"/>
    <n v="25578"/>
    <n v="313.2"/>
    <n v="3836.7"/>
    <n v="3837"/>
    <n v="11310"/>
    <n v="6594.2999999999993"/>
    <n v="0.25781140042223799"/>
  </r>
  <r>
    <s v="ORD-1522"/>
    <d v="2026-05-22T18:00:00"/>
    <s v="P-003"/>
    <s v="BR-30"/>
    <x v="0"/>
    <n v="151"/>
    <x v="0"/>
    <n v="150"/>
    <n v="65"/>
    <n v="1.8"/>
    <x v="1"/>
    <n v="12.5"/>
    <n v="0.15"/>
    <n v="0.02"/>
    <n v="22650"/>
    <n v="22197"/>
    <n v="271.8"/>
    <n v="3329.5499999999997"/>
    <n v="3330"/>
    <n v="9815"/>
    <n v="5722.4500000000007"/>
    <n v="0.25780285624183502"/>
  </r>
  <r>
    <s v="ORD-1523"/>
    <d v="2026-05-22T19:00:00"/>
    <s v="P-003"/>
    <s v="BR-30"/>
    <x v="2"/>
    <n v="68"/>
    <x v="0"/>
    <n v="150"/>
    <n v="65"/>
    <n v="1.8"/>
    <x v="1"/>
    <n v="12.5"/>
    <n v="0.15"/>
    <n v="0.05"/>
    <n v="10200"/>
    <n v="9690"/>
    <n v="122.4"/>
    <n v="1453.5"/>
    <n v="1454"/>
    <n v="4420"/>
    <n v="2362.5"/>
    <n v="0.243808049535604"/>
  </r>
  <r>
    <s v="ORD-1531"/>
    <d v="2026-05-23T03:00:00"/>
    <s v="P-003"/>
    <s v="BR-30"/>
    <x v="2"/>
    <n v="26"/>
    <x v="0"/>
    <n v="150"/>
    <n v="65"/>
    <n v="1.8"/>
    <x v="1"/>
    <n v="12.5"/>
    <n v="0.15"/>
    <n v="0.05"/>
    <n v="3900"/>
    <n v="3705"/>
    <n v="46.800000000000004"/>
    <n v="555.75"/>
    <n v="556"/>
    <n v="1690"/>
    <n v="903.25"/>
    <n v="0.24379217273954101"/>
  </r>
  <r>
    <s v="ORD-1533"/>
    <d v="2026-05-23T05:00:00"/>
    <s v="P-003"/>
    <s v="BR-30"/>
    <x v="2"/>
    <n v="122"/>
    <x v="0"/>
    <n v="150"/>
    <n v="65"/>
    <n v="1.8"/>
    <x v="1"/>
    <n v="12.5"/>
    <n v="0.15"/>
    <n v="0.05"/>
    <n v="18300"/>
    <n v="17385"/>
    <n v="219.6"/>
    <n v="2607.75"/>
    <n v="2608"/>
    <n v="7930"/>
    <n v="4239.25"/>
    <n v="0.24384526890998001"/>
  </r>
  <r>
    <s v="ORD-1556"/>
    <d v="2026-05-24T04:00:00"/>
    <s v="P-003"/>
    <s v="BR-30"/>
    <x v="2"/>
    <n v="48"/>
    <x v="0"/>
    <n v="150"/>
    <n v="65"/>
    <n v="1.8"/>
    <x v="1"/>
    <n v="12.5"/>
    <n v="0.15"/>
    <n v="0.05"/>
    <n v="7200"/>
    <n v="6840"/>
    <n v="86.4"/>
    <n v="1026"/>
    <n v="1026"/>
    <n v="3120"/>
    <n v="1668"/>
    <n v="0.243859649122807"/>
  </r>
  <r>
    <s v="ORD-1559"/>
    <d v="2026-05-24T07:00:00"/>
    <s v="P-003"/>
    <s v="BR-30"/>
    <x v="1"/>
    <n v="52"/>
    <x v="0"/>
    <n v="150"/>
    <n v="65"/>
    <n v="1.8"/>
    <x v="1"/>
    <n v="12.5"/>
    <n v="0.15"/>
    <n v="0.1"/>
    <n v="7800"/>
    <n v="7020"/>
    <n v="93.600000000000009"/>
    <n v="1053"/>
    <n v="1053"/>
    <n v="3380"/>
    <n v="1534"/>
    <n v="0.218518518518519"/>
  </r>
  <r>
    <s v="ORD-1575"/>
    <d v="2026-05-24T23:00:00"/>
    <s v="P-003"/>
    <s v="BR-30"/>
    <x v="1"/>
    <n v="97"/>
    <x v="0"/>
    <n v="150"/>
    <n v="65"/>
    <n v="1.8"/>
    <x v="1"/>
    <n v="12.5"/>
    <n v="0.15"/>
    <n v="0.1"/>
    <n v="14550"/>
    <n v="13095"/>
    <n v="174.6"/>
    <n v="1964.25"/>
    <n v="1964"/>
    <n v="6305"/>
    <n v="2861.75"/>
    <n v="0.218537609774723"/>
  </r>
  <r>
    <s v="ORD-1583"/>
    <d v="2026-05-25T07:00:00"/>
    <s v="P-003"/>
    <s v="BR-30"/>
    <x v="0"/>
    <n v="41"/>
    <x v="0"/>
    <n v="150"/>
    <n v="65"/>
    <n v="1.8"/>
    <x v="1"/>
    <n v="12.5"/>
    <n v="0.15"/>
    <n v="0.02"/>
    <n v="6150"/>
    <n v="6027"/>
    <n v="73.8"/>
    <n v="904.05"/>
    <n v="904"/>
    <n v="2665"/>
    <n v="1553.9499999999998"/>
    <n v="0.25783142525302799"/>
  </r>
  <r>
    <s v="ORD-1587"/>
    <d v="2026-05-25T11:00:00"/>
    <s v="P-003"/>
    <s v="BR-30"/>
    <x v="1"/>
    <n v="120"/>
    <x v="0"/>
    <n v="150"/>
    <n v="65"/>
    <n v="1.8"/>
    <x v="1"/>
    <n v="12.5"/>
    <n v="0.15"/>
    <n v="0.1"/>
    <n v="18000"/>
    <n v="16200"/>
    <n v="216"/>
    <n v="2430"/>
    <n v="2430"/>
    <n v="7800"/>
    <n v="3540"/>
    <n v="0.218518518518519"/>
  </r>
  <r>
    <s v="ORD-1590"/>
    <d v="2026-05-25T14:00:00"/>
    <s v="P-003"/>
    <s v="BR-30"/>
    <x v="2"/>
    <n v="23"/>
    <x v="0"/>
    <n v="150"/>
    <n v="65"/>
    <n v="1.8"/>
    <x v="1"/>
    <n v="12.5"/>
    <n v="0.15"/>
    <n v="0.05"/>
    <n v="3450"/>
    <n v="3278"/>
    <n v="41.4"/>
    <n v="491.7"/>
    <n v="492"/>
    <n v="1495"/>
    <n v="799.30000000000018"/>
    <n v="0.243837705918243"/>
  </r>
  <r>
    <s v="ORD-1591"/>
    <d v="2026-05-25T15:00:00"/>
    <s v="P-003"/>
    <s v="BR-30"/>
    <x v="2"/>
    <n v="112"/>
    <x v="0"/>
    <n v="150"/>
    <n v="65"/>
    <n v="1.8"/>
    <x v="1"/>
    <n v="12.5"/>
    <n v="0.15"/>
    <n v="0.05"/>
    <n v="16800"/>
    <n v="15960"/>
    <n v="201.6"/>
    <n v="2394"/>
    <n v="2394"/>
    <n v="7280"/>
    <n v="3892"/>
    <n v="0.243859649122807"/>
  </r>
  <r>
    <s v="ORD-1611"/>
    <d v="2026-05-26T11:00:00"/>
    <s v="P-003"/>
    <s v="BR-30"/>
    <x v="2"/>
    <n v="120"/>
    <x v="0"/>
    <n v="150"/>
    <n v="65"/>
    <n v="1.8"/>
    <x v="1"/>
    <n v="12.5"/>
    <n v="0.15"/>
    <n v="0.05"/>
    <n v="18000"/>
    <n v="17100"/>
    <n v="216"/>
    <n v="2565"/>
    <n v="2565"/>
    <n v="7800"/>
    <n v="4170"/>
    <n v="0.243859649122807"/>
  </r>
  <r>
    <s v="ORD-1617"/>
    <d v="2026-05-26T17:00:00"/>
    <s v="P-003"/>
    <s v="BR-30"/>
    <x v="2"/>
    <n v="131"/>
    <x v="0"/>
    <n v="150"/>
    <n v="65"/>
    <n v="1.8"/>
    <x v="1"/>
    <n v="12.5"/>
    <n v="0.15"/>
    <n v="0.05"/>
    <n v="19650"/>
    <n v="18668"/>
    <n v="235.8"/>
    <n v="2800.2"/>
    <n v="2800"/>
    <n v="8515"/>
    <n v="4552.7999999999993"/>
    <n v="0.243882579815727"/>
  </r>
  <r>
    <s v="ORD-1618"/>
    <d v="2026-05-26T18:00:00"/>
    <s v="P-003"/>
    <s v="BR-30"/>
    <x v="0"/>
    <n v="187"/>
    <x v="0"/>
    <n v="150"/>
    <n v="65"/>
    <n v="1.8"/>
    <x v="1"/>
    <n v="12.5"/>
    <n v="0.15"/>
    <n v="0.02"/>
    <n v="28050"/>
    <n v="27489"/>
    <n v="336.6"/>
    <n v="4123.3499999999995"/>
    <n v="4123"/>
    <n v="12155"/>
    <n v="7087.6500000000015"/>
    <n v="0.25783586161737398"/>
  </r>
  <r>
    <s v="ORD-1633"/>
    <d v="2026-05-27T09:00:00"/>
    <s v="P-003"/>
    <s v="BR-30"/>
    <x v="0"/>
    <n v="76"/>
    <x v="0"/>
    <n v="150"/>
    <n v="65"/>
    <n v="1.8"/>
    <x v="1"/>
    <n v="12.5"/>
    <n v="0.15"/>
    <n v="0.02"/>
    <n v="11400"/>
    <n v="11172"/>
    <n v="136.80000000000001"/>
    <n v="1675.8"/>
    <n v="1676"/>
    <n v="4940"/>
    <n v="2880.2000000000007"/>
    <n v="0.2578052273541"/>
  </r>
  <r>
    <s v="ORD-1645"/>
    <d v="2026-05-27T21:00:00"/>
    <s v="P-003"/>
    <s v="BR-30"/>
    <x v="1"/>
    <n v="171"/>
    <x v="0"/>
    <n v="150"/>
    <n v="65"/>
    <n v="1.8"/>
    <x v="1"/>
    <n v="12.5"/>
    <n v="0.15"/>
    <n v="0.1"/>
    <n v="25650"/>
    <n v="23085"/>
    <n v="307.8"/>
    <n v="3462.75"/>
    <n v="3463"/>
    <n v="11115"/>
    <n v="5044.25"/>
    <n v="0.218507688975525"/>
  </r>
  <r>
    <s v="ORD-1649"/>
    <d v="2026-05-28T01:00:00"/>
    <s v="P-003"/>
    <s v="BR-30"/>
    <x v="0"/>
    <n v="111"/>
    <x v="0"/>
    <n v="150"/>
    <n v="65"/>
    <n v="1.8"/>
    <x v="1"/>
    <n v="12.5"/>
    <n v="0.15"/>
    <n v="0.02"/>
    <n v="16650"/>
    <n v="16317"/>
    <n v="199.8"/>
    <n v="2447.5499999999997"/>
    <n v="2448"/>
    <n v="7215"/>
    <n v="4206.4500000000007"/>
    <n v="0.25779555065269399"/>
  </r>
  <r>
    <s v="ORD-1661"/>
    <d v="2026-05-28T13:00:00"/>
    <s v="P-003"/>
    <s v="BR-30"/>
    <x v="1"/>
    <n v="182"/>
    <x v="0"/>
    <n v="150"/>
    <n v="65"/>
    <n v="1.8"/>
    <x v="1"/>
    <n v="12.5"/>
    <n v="0.15"/>
    <n v="0.1"/>
    <n v="27300"/>
    <n v="24570"/>
    <n v="327.60000000000002"/>
    <n v="3685.5"/>
    <n v="3686"/>
    <n v="11830"/>
    <n v="5368.5"/>
    <n v="0.218498168498168"/>
  </r>
  <r>
    <s v="ORD-1664"/>
    <d v="2026-05-28T16:00:00"/>
    <s v="P-003"/>
    <s v="BR-30"/>
    <x v="2"/>
    <n v="150"/>
    <x v="0"/>
    <n v="150"/>
    <n v="65"/>
    <n v="1.8"/>
    <x v="1"/>
    <n v="12.5"/>
    <n v="0.15"/>
    <n v="0.05"/>
    <n v="22500"/>
    <n v="21375"/>
    <n v="270"/>
    <n v="3206.25"/>
    <n v="3206"/>
    <n v="9750"/>
    <n v="5212.75"/>
    <n v="0.24387134502923999"/>
  </r>
  <r>
    <s v="ORD-1667"/>
    <d v="2026-05-28T19:00:00"/>
    <s v="P-003"/>
    <s v="BR-30"/>
    <x v="1"/>
    <n v="169"/>
    <x v="0"/>
    <n v="150"/>
    <n v="65"/>
    <n v="1.8"/>
    <x v="1"/>
    <n v="12.5"/>
    <n v="0.15"/>
    <n v="0.1"/>
    <n v="25350"/>
    <n v="22815"/>
    <n v="304.2"/>
    <n v="3422.25"/>
    <n v="3422"/>
    <n v="10985"/>
    <n v="4985.75"/>
    <n v="0.21852947622178401"/>
  </r>
  <r>
    <s v="ORD-1677"/>
    <d v="2026-05-29T05:00:00"/>
    <s v="P-003"/>
    <s v="BR-30"/>
    <x v="2"/>
    <n v="93"/>
    <x v="0"/>
    <n v="150"/>
    <n v="65"/>
    <n v="1.8"/>
    <x v="1"/>
    <n v="12.5"/>
    <n v="0.15"/>
    <n v="0.05"/>
    <n v="13950"/>
    <n v="13252"/>
    <n v="167.4"/>
    <n v="1987.8"/>
    <n v="1988"/>
    <n v="6045"/>
    <n v="3231.2000000000007"/>
    <n v="0.243827346815575"/>
  </r>
  <r>
    <s v="ORD-1678"/>
    <d v="2026-05-29T06:00:00"/>
    <s v="P-003"/>
    <s v="BR-30"/>
    <x v="1"/>
    <n v="50"/>
    <x v="0"/>
    <n v="150"/>
    <n v="65"/>
    <n v="1.8"/>
    <x v="1"/>
    <n v="12.5"/>
    <n v="0.15"/>
    <n v="0.1"/>
    <n v="7500"/>
    <n v="6750"/>
    <n v="90"/>
    <n v="1012.5"/>
    <n v="1012"/>
    <n v="3250"/>
    <n v="1475.5"/>
    <n v="0.218592592592593"/>
  </r>
  <r>
    <s v="ORD-1683"/>
    <d v="2026-05-29T11:00:00"/>
    <s v="P-003"/>
    <s v="BR-30"/>
    <x v="2"/>
    <n v="90"/>
    <x v="0"/>
    <n v="150"/>
    <n v="65"/>
    <n v="1.8"/>
    <x v="1"/>
    <n v="12.5"/>
    <n v="0.15"/>
    <n v="0.05"/>
    <n v="13500"/>
    <n v="12825"/>
    <n v="162"/>
    <n v="1923.75"/>
    <n v="1924"/>
    <n v="5850"/>
    <n v="3127.25"/>
    <n v="0.243840155945419"/>
  </r>
  <r>
    <s v="ORD-1688"/>
    <d v="2026-05-29T16:00:00"/>
    <s v="P-003"/>
    <s v="BR-30"/>
    <x v="2"/>
    <n v="196"/>
    <x v="0"/>
    <n v="150"/>
    <n v="65"/>
    <n v="1.8"/>
    <x v="1"/>
    <n v="12.5"/>
    <n v="0.15"/>
    <n v="0.05"/>
    <n v="29400"/>
    <n v="27930"/>
    <n v="352.8"/>
    <n v="4189.5"/>
    <n v="4190"/>
    <n v="12740"/>
    <n v="6810.5"/>
    <n v="0.24384174722520599"/>
  </r>
  <r>
    <s v="ORD-1697"/>
    <d v="2026-05-30T01:00:00"/>
    <s v="P-003"/>
    <s v="BR-30"/>
    <x v="1"/>
    <n v="144"/>
    <x v="0"/>
    <n v="150"/>
    <n v="65"/>
    <n v="1.8"/>
    <x v="1"/>
    <n v="12.5"/>
    <n v="0.15"/>
    <n v="0.1"/>
    <n v="21600"/>
    <n v="19440"/>
    <n v="259.2"/>
    <n v="2916"/>
    <n v="2916"/>
    <n v="9360"/>
    <n v="4248"/>
    <n v="0.218518518518519"/>
  </r>
  <r>
    <s v="ORD-1700"/>
    <d v="2026-05-30T04:00:00"/>
    <s v="P-003"/>
    <s v="BR-30"/>
    <x v="1"/>
    <n v="122"/>
    <x v="0"/>
    <n v="150"/>
    <n v="65"/>
    <n v="1.8"/>
    <x v="1"/>
    <n v="12.5"/>
    <n v="0.15"/>
    <n v="0.1"/>
    <n v="18300"/>
    <n v="16470"/>
    <n v="219.6"/>
    <n v="2470.5"/>
    <n v="2470"/>
    <n v="7930"/>
    <n v="3599.5"/>
    <n v="0.218548876745598"/>
  </r>
  <r>
    <s v="ORD-1721"/>
    <d v="2026-05-31T01:00:00"/>
    <s v="P-003"/>
    <s v="BR-30"/>
    <x v="1"/>
    <n v="76"/>
    <x v="0"/>
    <n v="150"/>
    <n v="65"/>
    <n v="1.8"/>
    <x v="1"/>
    <n v="12.5"/>
    <n v="0.15"/>
    <n v="0.1"/>
    <n v="11400"/>
    <n v="10260"/>
    <n v="136.80000000000001"/>
    <n v="1539"/>
    <n v="1539"/>
    <n v="4940"/>
    <n v="2242"/>
    <n v="0.218518518518519"/>
  </r>
  <r>
    <s v="ORD-1731"/>
    <d v="2026-05-31T11:00:00"/>
    <s v="P-003"/>
    <s v="BR-30"/>
    <x v="2"/>
    <n v="96"/>
    <x v="0"/>
    <n v="150"/>
    <n v="65"/>
    <n v="1.8"/>
    <x v="1"/>
    <n v="12.5"/>
    <n v="0.15"/>
    <n v="0.05"/>
    <n v="14400"/>
    <n v="13680"/>
    <n v="172.8"/>
    <n v="2052"/>
    <n v="2052"/>
    <n v="6240"/>
    <n v="3336"/>
    <n v="0.243859649122807"/>
  </r>
  <r>
    <s v="ORD-1732"/>
    <d v="2026-05-31T12:00:00"/>
    <s v="P-003"/>
    <s v="BR-30"/>
    <x v="0"/>
    <n v="16"/>
    <x v="0"/>
    <n v="150"/>
    <n v="65"/>
    <n v="1.8"/>
    <x v="1"/>
    <n v="12.5"/>
    <n v="0.15"/>
    <n v="0.02"/>
    <n v="2400"/>
    <n v="2352"/>
    <n v="28.8"/>
    <n v="352.8"/>
    <n v="353"/>
    <n v="1040"/>
    <n v="606.20000000000005"/>
    <n v="0.25773809523809499"/>
  </r>
  <r>
    <s v="ORD-1743"/>
    <d v="2026-05-31T23:00:00"/>
    <s v="P-003"/>
    <s v="BR-30"/>
    <x v="2"/>
    <n v="90"/>
    <x v="0"/>
    <n v="150"/>
    <n v="65"/>
    <n v="1.8"/>
    <x v="1"/>
    <n v="12.5"/>
    <n v="0.15"/>
    <n v="0.05"/>
    <n v="13500"/>
    <n v="12825"/>
    <n v="162"/>
    <n v="1923.75"/>
    <n v="1924"/>
    <n v="5850"/>
    <n v="3127.25"/>
    <n v="0.243840155945419"/>
  </r>
  <r>
    <s v="ORD-1748"/>
    <d v="2026-06-01T04:00:00"/>
    <s v="P-003"/>
    <s v="BR-30"/>
    <x v="2"/>
    <n v="66"/>
    <x v="0"/>
    <n v="150"/>
    <n v="65"/>
    <n v="1.8"/>
    <x v="1"/>
    <n v="12.5"/>
    <n v="0.15"/>
    <n v="0.05"/>
    <n v="9900"/>
    <n v="9405"/>
    <n v="118.8"/>
    <n v="1410.75"/>
    <n v="1411"/>
    <n v="4290"/>
    <n v="2293.25"/>
    <n v="0.24383306751727801"/>
  </r>
  <r>
    <s v="ORD-1760"/>
    <d v="2026-06-01T16:00:00"/>
    <s v="P-003"/>
    <s v="BR-30"/>
    <x v="2"/>
    <n v="192"/>
    <x v="0"/>
    <n v="150"/>
    <n v="65"/>
    <n v="1.8"/>
    <x v="1"/>
    <n v="12.5"/>
    <n v="0.15"/>
    <n v="0.05"/>
    <n v="28800"/>
    <n v="27360"/>
    <n v="345.6"/>
    <n v="4104"/>
    <n v="4104"/>
    <n v="12480"/>
    <n v="6672"/>
    <n v="0.243859649122807"/>
  </r>
  <r>
    <s v="ORD-1765"/>
    <d v="2026-06-01T21:00:00"/>
    <s v="P-003"/>
    <s v="BR-30"/>
    <x v="2"/>
    <n v="180"/>
    <x v="0"/>
    <n v="150"/>
    <n v="65"/>
    <n v="1.8"/>
    <x v="1"/>
    <n v="12.5"/>
    <n v="0.15"/>
    <n v="0.05"/>
    <n v="27000"/>
    <n v="25650"/>
    <n v="324"/>
    <n v="3847.5"/>
    <n v="3848"/>
    <n v="11700"/>
    <n v="6254.5"/>
    <n v="0.243840155945419"/>
  </r>
  <r>
    <s v="ORD-1787"/>
    <d v="2026-06-02T19:00:00"/>
    <s v="P-003"/>
    <s v="BR-30"/>
    <x v="1"/>
    <n v="145"/>
    <x v="0"/>
    <n v="150"/>
    <n v="65"/>
    <n v="1.8"/>
    <x v="1"/>
    <n v="12.5"/>
    <n v="0.15"/>
    <n v="0.1"/>
    <n v="21750"/>
    <n v="19575"/>
    <n v="261"/>
    <n v="2936.25"/>
    <n v="2936"/>
    <n v="9425"/>
    <n v="4277.75"/>
    <n v="0.2185312899106"/>
  </r>
  <r>
    <s v="ORD-1792"/>
    <d v="2026-06-03T00:00:00"/>
    <s v="P-003"/>
    <s v="BR-30"/>
    <x v="0"/>
    <n v="86"/>
    <x v="0"/>
    <n v="150"/>
    <n v="65"/>
    <n v="1.8"/>
    <x v="1"/>
    <n v="12.5"/>
    <n v="0.15"/>
    <n v="0.02"/>
    <n v="12900"/>
    <n v="12642"/>
    <n v="154.80000000000001"/>
    <n v="1896.3"/>
    <n v="1896"/>
    <n v="5590"/>
    <n v="3259.7000000000007"/>
    <n v="0.25784685967410198"/>
  </r>
  <r>
    <s v="ORD-1822"/>
    <d v="2026-06-04T06:00:00"/>
    <s v="P-003"/>
    <s v="BR-30"/>
    <x v="2"/>
    <n v="52"/>
    <x v="0"/>
    <n v="150"/>
    <n v="65"/>
    <n v="1.8"/>
    <x v="1"/>
    <n v="12.5"/>
    <n v="0.15"/>
    <n v="0.05"/>
    <n v="7800"/>
    <n v="7410"/>
    <n v="93.600000000000009"/>
    <n v="1111.5"/>
    <n v="1112"/>
    <n v="3380"/>
    <n v="1806.5"/>
    <n v="0.24379217273954101"/>
  </r>
  <r>
    <s v="ORD-1826"/>
    <d v="2026-06-04T10:00:00"/>
    <s v="P-003"/>
    <s v="BR-30"/>
    <x v="0"/>
    <n v="170"/>
    <x v="0"/>
    <n v="150"/>
    <n v="65"/>
    <n v="1.8"/>
    <x v="1"/>
    <n v="12.5"/>
    <n v="0.15"/>
    <n v="0.02"/>
    <n v="25500"/>
    <n v="24990"/>
    <n v="306"/>
    <n v="3748.5"/>
    <n v="3748"/>
    <n v="11050"/>
    <n v="6443.5"/>
    <n v="0.25784313725490199"/>
  </r>
  <r>
    <s v="ORD-1830"/>
    <d v="2026-06-04T14:00:00"/>
    <s v="P-003"/>
    <s v="BR-30"/>
    <x v="0"/>
    <n v="169"/>
    <x v="0"/>
    <n v="150"/>
    <n v="65"/>
    <n v="1.8"/>
    <x v="1"/>
    <n v="12.5"/>
    <n v="0.15"/>
    <n v="0.02"/>
    <n v="25350"/>
    <n v="24843"/>
    <n v="304.2"/>
    <n v="3726.45"/>
    <n v="3726"/>
    <n v="10985"/>
    <n v="6405.5499999999993"/>
    <n v="0.25784124300607802"/>
  </r>
  <r>
    <s v="ORD-1845"/>
    <d v="2026-06-05T05:00:00"/>
    <s v="P-003"/>
    <s v="BR-30"/>
    <x v="0"/>
    <n v="128"/>
    <x v="0"/>
    <n v="150"/>
    <n v="65"/>
    <n v="1.8"/>
    <x v="1"/>
    <n v="12.5"/>
    <n v="0.15"/>
    <n v="0.02"/>
    <n v="19200"/>
    <n v="18816"/>
    <n v="230.4"/>
    <n v="2822.4"/>
    <n v="2822"/>
    <n v="8320"/>
    <n v="4851.6000000000004"/>
    <n v="0.25784438775510199"/>
  </r>
  <r>
    <s v="ORD-1850"/>
    <d v="2026-06-05T10:00:00"/>
    <s v="P-003"/>
    <s v="BR-30"/>
    <x v="1"/>
    <n v="50"/>
    <x v="0"/>
    <n v="150"/>
    <n v="65"/>
    <n v="1.8"/>
    <x v="1"/>
    <n v="12.5"/>
    <n v="0.15"/>
    <n v="0.1"/>
    <n v="7500"/>
    <n v="6750"/>
    <n v="90"/>
    <n v="1012.5"/>
    <n v="1012"/>
    <n v="3250"/>
    <n v="1475.5"/>
    <n v="0.218592592592593"/>
  </r>
  <r>
    <s v="ORD-1857"/>
    <d v="2026-06-05T17:00:00"/>
    <s v="P-003"/>
    <s v="BR-30"/>
    <x v="1"/>
    <n v="27"/>
    <x v="0"/>
    <n v="150"/>
    <n v="65"/>
    <n v="1.8"/>
    <x v="1"/>
    <n v="12.5"/>
    <n v="0.15"/>
    <n v="0.1"/>
    <n v="4050"/>
    <n v="3645"/>
    <n v="48.6"/>
    <n v="546.75"/>
    <n v="547"/>
    <n v="1755"/>
    <n v="796.25"/>
    <n v="0.21844993141289401"/>
  </r>
  <r>
    <s v="ORD-1864"/>
    <d v="2026-06-06T00:00:00"/>
    <s v="P-003"/>
    <s v="BR-30"/>
    <x v="2"/>
    <n v="185"/>
    <x v="0"/>
    <n v="150"/>
    <n v="65"/>
    <n v="1.8"/>
    <x v="1"/>
    <n v="12.5"/>
    <n v="0.15"/>
    <n v="0.05"/>
    <n v="27750"/>
    <n v="26362"/>
    <n v="333"/>
    <n v="3954.2999999999997"/>
    <n v="3954"/>
    <n v="12025"/>
    <n v="6428.7000000000007"/>
    <n v="0.243862377664821"/>
  </r>
  <r>
    <s v="ORD-1868"/>
    <d v="2026-06-06T04:00:00"/>
    <s v="P-003"/>
    <s v="BR-30"/>
    <x v="0"/>
    <n v="66"/>
    <x v="0"/>
    <n v="150"/>
    <n v="65"/>
    <n v="1.8"/>
    <x v="1"/>
    <n v="12.5"/>
    <n v="0.15"/>
    <n v="0.02"/>
    <n v="9900"/>
    <n v="9702"/>
    <n v="118.8"/>
    <n v="1455.3"/>
    <n v="1455"/>
    <n v="4290"/>
    <n v="2501.6999999999998"/>
    <n v="0.25785405071119399"/>
  </r>
  <r>
    <s v="ORD-1904"/>
    <d v="2026-06-07T16:00:00"/>
    <s v="P-003"/>
    <s v="BR-30"/>
    <x v="2"/>
    <n v="151"/>
    <x v="0"/>
    <n v="150"/>
    <n v="65"/>
    <n v="1.8"/>
    <x v="1"/>
    <n v="12.5"/>
    <n v="0.15"/>
    <n v="0.05"/>
    <n v="22650"/>
    <n v="21518"/>
    <n v="271.8"/>
    <n v="3227.7"/>
    <n v="3228"/>
    <n v="9815"/>
    <n v="5247.2999999999993"/>
    <n v="0.24385630634817401"/>
  </r>
  <r>
    <s v="ORD-1914"/>
    <d v="2026-06-08T02:00:00"/>
    <s v="P-003"/>
    <s v="BR-30"/>
    <x v="0"/>
    <n v="196"/>
    <x v="0"/>
    <n v="150"/>
    <n v="65"/>
    <n v="1.8"/>
    <x v="1"/>
    <n v="12.5"/>
    <n v="0.15"/>
    <n v="0.02"/>
    <n v="29400"/>
    <n v="28812"/>
    <n v="352.8"/>
    <n v="4321.8"/>
    <n v="4322"/>
    <n v="12740"/>
    <n v="7428.2000000000007"/>
    <n v="0.25781618769956999"/>
  </r>
  <r>
    <s v="ORD-1916"/>
    <d v="2026-06-08T04:00:00"/>
    <s v="P-003"/>
    <s v="BR-30"/>
    <x v="1"/>
    <n v="195"/>
    <x v="0"/>
    <n v="150"/>
    <n v="65"/>
    <n v="1.8"/>
    <x v="1"/>
    <n v="12.5"/>
    <n v="0.15"/>
    <n v="0.1"/>
    <n v="29250"/>
    <n v="26325"/>
    <n v="351"/>
    <n v="3948.75"/>
    <n v="3949"/>
    <n v="12675"/>
    <n v="5752.25"/>
    <n v="0.21850902184235499"/>
  </r>
  <r>
    <s v="ORD-1919"/>
    <d v="2026-06-08T07:00:00"/>
    <s v="P-003"/>
    <s v="BR-30"/>
    <x v="1"/>
    <n v="127"/>
    <x v="0"/>
    <n v="150"/>
    <n v="65"/>
    <n v="1.8"/>
    <x v="1"/>
    <n v="12.5"/>
    <n v="0.15"/>
    <n v="0.1"/>
    <n v="19050"/>
    <n v="17145"/>
    <n v="228.6"/>
    <n v="2571.75"/>
    <n v="2572"/>
    <n v="8255"/>
    <n v="3746.25"/>
    <n v="0.21850393700787399"/>
  </r>
  <r>
    <s v="ORD-1936"/>
    <d v="2026-06-09T00:00:00"/>
    <s v="P-003"/>
    <s v="BR-30"/>
    <x v="1"/>
    <n v="154"/>
    <x v="0"/>
    <n v="150"/>
    <n v="65"/>
    <n v="1.8"/>
    <x v="1"/>
    <n v="12.5"/>
    <n v="0.15"/>
    <n v="0.1"/>
    <n v="23100"/>
    <n v="20790"/>
    <n v="277.2"/>
    <n v="3118.5"/>
    <n v="3118"/>
    <n v="10010"/>
    <n v="4543.5"/>
    <n v="0.21854256854256901"/>
  </r>
  <r>
    <s v="ORD-1950"/>
    <d v="2026-06-09T14:00:00"/>
    <s v="P-003"/>
    <s v="BR-30"/>
    <x v="1"/>
    <n v="190"/>
    <x v="0"/>
    <n v="150"/>
    <n v="65"/>
    <n v="1.8"/>
    <x v="1"/>
    <n v="12.5"/>
    <n v="0.15"/>
    <n v="0.1"/>
    <n v="28500"/>
    <n v="25650"/>
    <n v="342"/>
    <n v="3847.5"/>
    <n v="3848"/>
    <n v="12350"/>
    <n v="5604.5"/>
    <n v="0.218499025341131"/>
  </r>
  <r>
    <s v="ORD-1953"/>
    <d v="2026-06-09T17:00:00"/>
    <s v="P-003"/>
    <s v="BR-30"/>
    <x v="0"/>
    <n v="155"/>
    <x v="0"/>
    <n v="150"/>
    <n v="65"/>
    <n v="1.8"/>
    <x v="1"/>
    <n v="12.5"/>
    <n v="0.15"/>
    <n v="0.02"/>
    <n v="23250"/>
    <n v="22785"/>
    <n v="279"/>
    <n v="3417.75"/>
    <n v="3418"/>
    <n v="10075"/>
    <n v="5874.25"/>
    <n v="0.25781215712091299"/>
  </r>
  <r>
    <s v="ORD-1968"/>
    <d v="2026-06-10T08:00:00"/>
    <s v="P-003"/>
    <s v="BR-30"/>
    <x v="2"/>
    <n v="42"/>
    <x v="0"/>
    <n v="150"/>
    <n v="65"/>
    <n v="1.8"/>
    <x v="1"/>
    <n v="12.5"/>
    <n v="0.15"/>
    <n v="0.05"/>
    <n v="6300"/>
    <n v="5985"/>
    <n v="75.600000000000009"/>
    <n v="897.75"/>
    <n v="898"/>
    <n v="2730"/>
    <n v="1459.25"/>
    <n v="0.24381787802840399"/>
  </r>
  <r>
    <s v="ORD-1975"/>
    <d v="2026-06-10T15:00:00"/>
    <s v="P-003"/>
    <s v="BR-30"/>
    <x v="0"/>
    <n v="17"/>
    <x v="0"/>
    <n v="150"/>
    <n v="65"/>
    <n v="1.8"/>
    <x v="1"/>
    <n v="12.5"/>
    <n v="0.15"/>
    <n v="0.02"/>
    <n v="2550"/>
    <n v="2499"/>
    <n v="30.6"/>
    <n v="374.84999999999997"/>
    <n v="375"/>
    <n v="1105"/>
    <n v="644.15000000000009"/>
    <n v="0.257763105242097"/>
  </r>
  <r>
    <s v="ORD-1985"/>
    <d v="2026-06-11T01:00:00"/>
    <s v="P-003"/>
    <s v="BR-30"/>
    <x v="2"/>
    <n v="10"/>
    <x v="0"/>
    <n v="150"/>
    <n v="65"/>
    <n v="1.8"/>
    <x v="1"/>
    <n v="12.5"/>
    <n v="0.15"/>
    <n v="0.05"/>
    <n v="1500"/>
    <n v="1425"/>
    <n v="18"/>
    <n v="213.75"/>
    <n v="214"/>
    <n v="650"/>
    <n v="347.25"/>
    <n v="0.243684210526316"/>
  </r>
  <r>
    <s v="ORD-1016"/>
    <d v="2026-05-01T16:00:00"/>
    <s v="P-003"/>
    <s v="BR-20"/>
    <x v="0"/>
    <n v="176"/>
    <x v="0"/>
    <n v="150"/>
    <n v="65"/>
    <n v="1.8"/>
    <x v="2"/>
    <n v="8"/>
    <n v="0.12"/>
    <n v="0.02"/>
    <n v="26400"/>
    <n v="25872"/>
    <n v="316.8"/>
    <n v="3104.64"/>
    <n v="3105"/>
    <n v="11440"/>
    <n v="8222.36"/>
    <n v="0.317809214594929"/>
  </r>
  <r>
    <s v="ORD-1029"/>
    <d v="2026-05-02T05:00:00"/>
    <s v="P-003"/>
    <s v="BR-20"/>
    <x v="2"/>
    <n v="63"/>
    <x v="0"/>
    <n v="150"/>
    <n v="65"/>
    <n v="1.8"/>
    <x v="2"/>
    <n v="8"/>
    <n v="0.12"/>
    <n v="0.05"/>
    <n v="9450"/>
    <n v="8978"/>
    <n v="113.4"/>
    <n v="1077.3599999999999"/>
    <n v="1077"/>
    <n v="4095"/>
    <n v="2728.6400000000003"/>
    <n v="0.30392515036756501"/>
  </r>
  <r>
    <s v="ORD-1039"/>
    <d v="2026-05-02T15:00:00"/>
    <s v="P-003"/>
    <s v="BR-20"/>
    <x v="1"/>
    <n v="136"/>
    <x v="0"/>
    <n v="150"/>
    <n v="65"/>
    <n v="1.8"/>
    <x v="2"/>
    <n v="8"/>
    <n v="0.12"/>
    <n v="0.1"/>
    <n v="20400"/>
    <n v="18360"/>
    <n v="244.8"/>
    <n v="2203.1999999999998"/>
    <n v="2203"/>
    <n v="8840"/>
    <n v="5113.7999999999993"/>
    <n v="0.27852941176470603"/>
  </r>
  <r>
    <s v="ORD-1045"/>
    <d v="2026-05-02T21:00:00"/>
    <s v="P-003"/>
    <s v="BR-20"/>
    <x v="2"/>
    <n v="14"/>
    <x v="0"/>
    <n v="150"/>
    <n v="65"/>
    <n v="1.8"/>
    <x v="2"/>
    <n v="8"/>
    <n v="0.12"/>
    <n v="0.05"/>
    <n v="2100"/>
    <n v="1995"/>
    <n v="25.2"/>
    <n v="239.39999999999998"/>
    <n v="239"/>
    <n v="910"/>
    <n v="606.59999999999991"/>
    <n v="0.30406015037593997"/>
  </r>
  <r>
    <s v="ORD-1055"/>
    <d v="2026-05-03T07:00:00"/>
    <s v="P-003"/>
    <s v="BR-20"/>
    <x v="1"/>
    <n v="187"/>
    <x v="0"/>
    <n v="150"/>
    <n v="65"/>
    <n v="1.8"/>
    <x v="2"/>
    <n v="8"/>
    <n v="0.12"/>
    <n v="0.1"/>
    <n v="28050"/>
    <n v="25245"/>
    <n v="336.6"/>
    <n v="3029.4"/>
    <n v="3029"/>
    <n v="12155"/>
    <n v="7031.5999999999985"/>
    <n v="0.278534363240246"/>
  </r>
  <r>
    <s v="ORD-1056"/>
    <d v="2026-05-03T08:00:00"/>
    <s v="P-003"/>
    <s v="BR-20"/>
    <x v="2"/>
    <n v="55"/>
    <x v="0"/>
    <n v="150"/>
    <n v="65"/>
    <n v="1.8"/>
    <x v="2"/>
    <n v="8"/>
    <n v="0.12"/>
    <n v="0.05"/>
    <n v="8250"/>
    <n v="7838"/>
    <n v="99"/>
    <n v="940.56"/>
    <n v="941"/>
    <n v="3575"/>
    <n v="2381.4400000000005"/>
    <n v="0.30383261035978598"/>
  </r>
  <r>
    <s v="ORD-1059"/>
    <d v="2026-05-03T11:00:00"/>
    <s v="P-003"/>
    <s v="BR-20"/>
    <x v="2"/>
    <n v="117"/>
    <x v="0"/>
    <n v="150"/>
    <n v="65"/>
    <n v="1.8"/>
    <x v="2"/>
    <n v="8"/>
    <n v="0.12"/>
    <n v="0.05"/>
    <n v="17550"/>
    <n v="16672"/>
    <n v="210.6"/>
    <n v="2000.6399999999999"/>
    <n v="2001"/>
    <n v="7605"/>
    <n v="5065.3600000000006"/>
    <n v="0.303824376199616"/>
  </r>
  <r>
    <s v="ORD-1071"/>
    <d v="2026-05-03T23:00:00"/>
    <s v="P-003"/>
    <s v="BR-20"/>
    <x v="1"/>
    <n v="34"/>
    <x v="0"/>
    <n v="150"/>
    <n v="65"/>
    <n v="1.8"/>
    <x v="2"/>
    <n v="8"/>
    <n v="0.12"/>
    <n v="0.1"/>
    <n v="5100"/>
    <n v="4590"/>
    <n v="61.2"/>
    <n v="550.79999999999995"/>
    <n v="551"/>
    <n v="2210"/>
    <n v="1278.1999999999998"/>
    <n v="0.278474945533769"/>
  </r>
  <r>
    <s v="ORD-1093"/>
    <d v="2026-05-04T21:00:00"/>
    <s v="P-003"/>
    <s v="BR-20"/>
    <x v="1"/>
    <n v="114"/>
    <x v="0"/>
    <n v="150"/>
    <n v="65"/>
    <n v="1.8"/>
    <x v="2"/>
    <n v="8"/>
    <n v="0.12"/>
    <n v="0.1"/>
    <n v="17100"/>
    <n v="15390"/>
    <n v="205.20000000000002"/>
    <n v="1846.8"/>
    <n v="1847"/>
    <n v="7410"/>
    <n v="4286.2000000000007"/>
    <n v="0.278505523066927"/>
  </r>
  <r>
    <s v="ORD-1104"/>
    <d v="2026-05-05T08:00:00"/>
    <s v="P-003"/>
    <s v="BR-20"/>
    <x v="0"/>
    <n v="120"/>
    <x v="0"/>
    <n v="150"/>
    <n v="65"/>
    <n v="1.8"/>
    <x v="2"/>
    <n v="8"/>
    <n v="0.12"/>
    <n v="0.02"/>
    <n v="18000"/>
    <n v="17640"/>
    <n v="216"/>
    <n v="2116.7999999999997"/>
    <n v="2117"/>
    <n v="7800"/>
    <n v="5606.2000000000007"/>
    <n v="0.31781179138322002"/>
  </r>
  <r>
    <s v="ORD-1115"/>
    <d v="2026-05-05T19:00:00"/>
    <s v="P-003"/>
    <s v="BR-20"/>
    <x v="2"/>
    <n v="114"/>
    <x v="0"/>
    <n v="150"/>
    <n v="65"/>
    <n v="1.8"/>
    <x v="2"/>
    <n v="8"/>
    <n v="0.12"/>
    <n v="0.05"/>
    <n v="17100"/>
    <n v="16245"/>
    <n v="205.20000000000002"/>
    <n v="1949.3999999999999"/>
    <n v="1949"/>
    <n v="7410"/>
    <n v="4936.6000000000004"/>
    <n v="0.30388427208371799"/>
  </r>
  <r>
    <s v="ORD-1117"/>
    <d v="2026-05-05T21:00:00"/>
    <s v="P-003"/>
    <s v="BR-20"/>
    <x v="0"/>
    <n v="76"/>
    <x v="0"/>
    <n v="150"/>
    <n v="65"/>
    <n v="1.8"/>
    <x v="2"/>
    <n v="8"/>
    <n v="0.12"/>
    <n v="0.02"/>
    <n v="11400"/>
    <n v="11172"/>
    <n v="136.80000000000001"/>
    <n v="1340.6399999999999"/>
    <n v="1341"/>
    <n v="4940"/>
    <n v="3550.3600000000006"/>
    <n v="0.31779090583601899"/>
  </r>
  <r>
    <s v="ORD-1134"/>
    <d v="2026-05-06T14:00:00"/>
    <s v="P-003"/>
    <s v="BR-20"/>
    <x v="1"/>
    <n v="117"/>
    <x v="0"/>
    <n v="150"/>
    <n v="65"/>
    <n v="1.8"/>
    <x v="2"/>
    <n v="8"/>
    <n v="0.12"/>
    <n v="0.1"/>
    <n v="17550"/>
    <n v="15795"/>
    <n v="210.6"/>
    <n v="1895.3999999999999"/>
    <n v="1895"/>
    <n v="7605"/>
    <n v="4399.6000000000004"/>
    <n v="0.27854384298828699"/>
  </r>
  <r>
    <s v="ORD-1152"/>
    <d v="2026-05-07T08:00:00"/>
    <s v="P-003"/>
    <s v="BR-20"/>
    <x v="0"/>
    <n v="166"/>
    <x v="0"/>
    <n v="150"/>
    <n v="65"/>
    <n v="1.8"/>
    <x v="2"/>
    <n v="8"/>
    <n v="0.12"/>
    <n v="0.02"/>
    <n v="24900"/>
    <n v="24402"/>
    <n v="298.8"/>
    <n v="2928.24"/>
    <n v="2928"/>
    <n v="10790"/>
    <n v="7755.760000000002"/>
    <n v="0.31783296451110599"/>
  </r>
  <r>
    <s v="ORD-1166"/>
    <d v="2026-05-07T22:00:00"/>
    <s v="P-003"/>
    <s v="BR-20"/>
    <x v="1"/>
    <n v="114"/>
    <x v="0"/>
    <n v="150"/>
    <n v="65"/>
    <n v="1.8"/>
    <x v="2"/>
    <n v="8"/>
    <n v="0.12"/>
    <n v="0.1"/>
    <n v="17100"/>
    <n v="15390"/>
    <n v="205.20000000000002"/>
    <n v="1846.8"/>
    <n v="1847"/>
    <n v="7410"/>
    <n v="4286.2000000000007"/>
    <n v="0.278505523066927"/>
  </r>
  <r>
    <s v="ORD-1197"/>
    <d v="2026-05-09T05:00:00"/>
    <s v="P-003"/>
    <s v="BR-20"/>
    <x v="0"/>
    <n v="199"/>
    <x v="0"/>
    <n v="150"/>
    <n v="65"/>
    <n v="1.8"/>
    <x v="2"/>
    <n v="8"/>
    <n v="0.12"/>
    <n v="0.02"/>
    <n v="29850"/>
    <n v="29253"/>
    <n v="358.2"/>
    <n v="3510.3599999999997"/>
    <n v="3510"/>
    <n v="12935"/>
    <n v="9297.64"/>
    <n v="0.31783543568181"/>
  </r>
  <r>
    <s v="ORD-1198"/>
    <d v="2026-05-09T06:00:00"/>
    <s v="P-003"/>
    <s v="BR-20"/>
    <x v="2"/>
    <n v="49"/>
    <x v="0"/>
    <n v="150"/>
    <n v="65"/>
    <n v="1.8"/>
    <x v="2"/>
    <n v="8"/>
    <n v="0.12"/>
    <n v="0.05"/>
    <n v="7350"/>
    <n v="6982"/>
    <n v="88.2"/>
    <n v="837.83999999999992"/>
    <n v="838"/>
    <n v="3185"/>
    <n v="2121.16"/>
    <n v="0.30380406760240602"/>
  </r>
  <r>
    <s v="ORD-1200"/>
    <d v="2026-05-09T08:00:00"/>
    <s v="P-003"/>
    <s v="BR-20"/>
    <x v="1"/>
    <n v="132"/>
    <x v="0"/>
    <n v="150"/>
    <n v="65"/>
    <n v="1.8"/>
    <x v="2"/>
    <n v="8"/>
    <n v="0.12"/>
    <n v="0.1"/>
    <n v="19800"/>
    <n v="17820"/>
    <n v="237.6"/>
    <n v="2138.4"/>
    <n v="2138"/>
    <n v="8580"/>
    <n v="4963.6000000000004"/>
    <n v="0.278540965207632"/>
  </r>
  <r>
    <s v="ORD-1209"/>
    <d v="2026-05-09T17:00:00"/>
    <s v="P-003"/>
    <s v="BR-20"/>
    <x v="2"/>
    <n v="178"/>
    <x v="0"/>
    <n v="150"/>
    <n v="65"/>
    <n v="1.8"/>
    <x v="2"/>
    <n v="8"/>
    <n v="0.12"/>
    <n v="0.05"/>
    <n v="26700"/>
    <n v="25365"/>
    <n v="320.40000000000003"/>
    <n v="3043.7999999999997"/>
    <n v="3044"/>
    <n v="11570"/>
    <n v="7707.2000000000007"/>
    <n v="0.303851764242066"/>
  </r>
  <r>
    <s v="ORD-1251"/>
    <d v="2026-05-11T11:00:00"/>
    <s v="P-003"/>
    <s v="BR-20"/>
    <x v="0"/>
    <n v="12"/>
    <x v="0"/>
    <n v="150"/>
    <n v="65"/>
    <n v="1.8"/>
    <x v="2"/>
    <n v="8"/>
    <n v="0.12"/>
    <n v="0.02"/>
    <n v="1800"/>
    <n v="1764"/>
    <n v="21.6"/>
    <n v="211.67999999999998"/>
    <n v="212"/>
    <n v="780"/>
    <n v="560.32000000000016"/>
    <n v="0.31764172335600899"/>
  </r>
  <r>
    <s v="ORD-1253"/>
    <d v="2026-05-11T13:00:00"/>
    <s v="P-003"/>
    <s v="BR-20"/>
    <x v="1"/>
    <n v="178"/>
    <x v="0"/>
    <n v="150"/>
    <n v="65"/>
    <n v="1.8"/>
    <x v="2"/>
    <n v="8"/>
    <n v="0.12"/>
    <n v="0.1"/>
    <n v="26700"/>
    <n v="24030"/>
    <n v="320.40000000000003"/>
    <n v="2883.6"/>
    <n v="2884"/>
    <n v="11570"/>
    <n v="6692.4000000000015"/>
    <n v="0.27850187265917598"/>
  </r>
  <r>
    <s v="ORD-1275"/>
    <d v="2026-05-12T11:00:00"/>
    <s v="P-003"/>
    <s v="BR-20"/>
    <x v="0"/>
    <n v="140"/>
    <x v="0"/>
    <n v="150"/>
    <n v="65"/>
    <n v="1.8"/>
    <x v="2"/>
    <n v="8"/>
    <n v="0.12"/>
    <n v="0.02"/>
    <n v="21000"/>
    <n v="20580"/>
    <n v="252"/>
    <n v="2469.6"/>
    <n v="2470"/>
    <n v="9100"/>
    <n v="6540.4"/>
    <n v="0.31780369290573401"/>
  </r>
  <r>
    <s v="ORD-1281"/>
    <d v="2026-05-12T17:00:00"/>
    <s v="P-003"/>
    <s v="BR-20"/>
    <x v="0"/>
    <n v="47"/>
    <x v="0"/>
    <n v="150"/>
    <n v="65"/>
    <n v="1.8"/>
    <x v="2"/>
    <n v="8"/>
    <n v="0.12"/>
    <n v="0.02"/>
    <n v="7050"/>
    <n v="6909"/>
    <n v="84.600000000000009"/>
    <n v="829.07999999999993"/>
    <n v="829"/>
    <n v="3055"/>
    <n v="2195.92"/>
    <n v="0.31783470835142602"/>
  </r>
  <r>
    <s v="ORD-1295"/>
    <d v="2026-05-13T07:00:00"/>
    <s v="P-003"/>
    <s v="BR-20"/>
    <x v="1"/>
    <n v="102"/>
    <x v="0"/>
    <n v="150"/>
    <n v="65"/>
    <n v="1.8"/>
    <x v="2"/>
    <n v="8"/>
    <n v="0.12"/>
    <n v="0.1"/>
    <n v="15300"/>
    <n v="13770"/>
    <n v="183.6"/>
    <n v="1652.3999999999999"/>
    <n v="1652"/>
    <n v="6630"/>
    <n v="3835.6000000000004"/>
    <n v="0.278547567175018"/>
  </r>
  <r>
    <s v="ORD-1296"/>
    <d v="2026-05-13T08:00:00"/>
    <s v="P-003"/>
    <s v="BR-20"/>
    <x v="1"/>
    <n v="197"/>
    <x v="0"/>
    <n v="150"/>
    <n v="65"/>
    <n v="1.8"/>
    <x v="2"/>
    <n v="8"/>
    <n v="0.12"/>
    <n v="0.1"/>
    <n v="29550"/>
    <n v="26595"/>
    <n v="354.6"/>
    <n v="3191.4"/>
    <n v="3191"/>
    <n v="12805"/>
    <n v="7407.5999999999985"/>
    <n v="0.27853355893964998"/>
  </r>
  <r>
    <s v="ORD-1305"/>
    <d v="2026-05-13T17:00:00"/>
    <s v="P-003"/>
    <s v="BR-20"/>
    <x v="1"/>
    <n v="64"/>
    <x v="0"/>
    <n v="150"/>
    <n v="65"/>
    <n v="1.8"/>
    <x v="2"/>
    <n v="8"/>
    <n v="0.12"/>
    <n v="0.1"/>
    <n v="9600"/>
    <n v="8640"/>
    <n v="115.2"/>
    <n v="1036.8"/>
    <n v="1037"/>
    <n v="4160"/>
    <n v="2406.1999999999998"/>
    <n v="0.27849537037036998"/>
  </r>
  <r>
    <s v="ORD-1317"/>
    <d v="2026-05-14T05:00:00"/>
    <s v="P-003"/>
    <s v="BR-20"/>
    <x v="0"/>
    <n v="30"/>
    <x v="0"/>
    <n v="150"/>
    <n v="65"/>
    <n v="1.8"/>
    <x v="2"/>
    <n v="8"/>
    <n v="0.12"/>
    <n v="0.02"/>
    <n v="4500"/>
    <n v="4410"/>
    <n v="54"/>
    <n v="529.19999999999993"/>
    <n v="529"/>
    <n v="1950"/>
    <n v="1401.8000000000002"/>
    <n v="0.31786848072562401"/>
  </r>
  <r>
    <s v="ORD-1326"/>
    <d v="2026-05-14T14:00:00"/>
    <s v="P-003"/>
    <s v="BR-20"/>
    <x v="2"/>
    <n v="26"/>
    <x v="0"/>
    <n v="150"/>
    <n v="65"/>
    <n v="1.8"/>
    <x v="2"/>
    <n v="8"/>
    <n v="0.12"/>
    <n v="0.05"/>
    <n v="3900"/>
    <n v="3705"/>
    <n v="46.800000000000004"/>
    <n v="444.59999999999997"/>
    <n v="445"/>
    <n v="1690"/>
    <n v="1125.4000000000001"/>
    <n v="0.30375168690958199"/>
  </r>
  <r>
    <s v="ORD-1333"/>
    <d v="2026-05-14T21:00:00"/>
    <s v="P-003"/>
    <s v="BR-20"/>
    <x v="1"/>
    <n v="81"/>
    <x v="0"/>
    <n v="150"/>
    <n v="65"/>
    <n v="1.8"/>
    <x v="2"/>
    <n v="8"/>
    <n v="0.12"/>
    <n v="0.1"/>
    <n v="12150"/>
    <n v="10935"/>
    <n v="145.80000000000001"/>
    <n v="1312.2"/>
    <n v="1312"/>
    <n v="5265"/>
    <n v="3045.8"/>
    <n v="0.27853680841335199"/>
  </r>
  <r>
    <s v="ORD-1334"/>
    <d v="2026-05-14T22:00:00"/>
    <s v="P-003"/>
    <s v="BR-20"/>
    <x v="1"/>
    <n v="24"/>
    <x v="0"/>
    <n v="150"/>
    <n v="65"/>
    <n v="1.8"/>
    <x v="2"/>
    <n v="8"/>
    <n v="0.12"/>
    <n v="0.1"/>
    <n v="3600"/>
    <n v="3240"/>
    <n v="43.2"/>
    <n v="388.8"/>
    <n v="389"/>
    <n v="1560"/>
    <n v="902.19999999999982"/>
    <n v="0.27845679012345698"/>
  </r>
  <r>
    <s v="ORD-1341"/>
    <d v="2026-05-15T05:00:00"/>
    <s v="P-003"/>
    <s v="BR-20"/>
    <x v="0"/>
    <n v="44"/>
    <x v="0"/>
    <n v="150"/>
    <n v="65"/>
    <n v="1.8"/>
    <x v="2"/>
    <n v="8"/>
    <n v="0.12"/>
    <n v="0.02"/>
    <n v="6600"/>
    <n v="6468"/>
    <n v="79.2"/>
    <n v="776.16"/>
    <n v="776"/>
    <n v="2860"/>
    <n v="2055.84"/>
    <n v="0.31784786641929502"/>
  </r>
  <r>
    <s v="ORD-1344"/>
    <d v="2026-05-15T08:00:00"/>
    <s v="P-003"/>
    <s v="BR-20"/>
    <x v="2"/>
    <n v="18"/>
    <x v="0"/>
    <n v="150"/>
    <n v="65"/>
    <n v="1.8"/>
    <x v="2"/>
    <n v="8"/>
    <n v="0.12"/>
    <n v="0.05"/>
    <n v="2700"/>
    <n v="2565"/>
    <n v="32.4"/>
    <n v="307.8"/>
    <n v="308"/>
    <n v="1170"/>
    <n v="779.2"/>
    <n v="0.30378167641325499"/>
  </r>
  <r>
    <s v="ORD-1347"/>
    <d v="2026-05-15T11:00:00"/>
    <s v="P-003"/>
    <s v="BR-20"/>
    <x v="1"/>
    <n v="181"/>
    <x v="0"/>
    <n v="150"/>
    <n v="65"/>
    <n v="1.8"/>
    <x v="2"/>
    <n v="8"/>
    <n v="0.12"/>
    <n v="0.1"/>
    <n v="27150"/>
    <n v="24435"/>
    <n v="325.8"/>
    <n v="2932.2"/>
    <n v="2932"/>
    <n v="11765"/>
    <n v="6805.7999999999993"/>
    <n v="0.27852670349907899"/>
  </r>
  <r>
    <s v="ORD-1355"/>
    <d v="2026-05-15T19:00:00"/>
    <s v="P-003"/>
    <s v="BR-20"/>
    <x v="2"/>
    <n v="194"/>
    <x v="0"/>
    <n v="150"/>
    <n v="65"/>
    <n v="1.8"/>
    <x v="2"/>
    <n v="8"/>
    <n v="0.12"/>
    <n v="0.05"/>
    <n v="29100"/>
    <n v="27645"/>
    <n v="349.2"/>
    <n v="3317.4"/>
    <n v="3317"/>
    <n v="12610"/>
    <n v="8400.5999999999985"/>
    <n v="0.303874118285404"/>
  </r>
  <r>
    <s v="ORD-1364"/>
    <d v="2026-05-16T04:00:00"/>
    <s v="P-003"/>
    <s v="BR-20"/>
    <x v="1"/>
    <n v="90"/>
    <x v="0"/>
    <n v="150"/>
    <n v="65"/>
    <n v="1.8"/>
    <x v="2"/>
    <n v="8"/>
    <n v="0.12"/>
    <n v="0.1"/>
    <n v="13500"/>
    <n v="12150"/>
    <n v="162"/>
    <n v="1458"/>
    <n v="1458"/>
    <n v="5850"/>
    <n v="3384"/>
    <n v="0.278518518518518"/>
  </r>
  <r>
    <s v="ORD-1365"/>
    <d v="2026-05-16T05:00:00"/>
    <s v="P-003"/>
    <s v="BR-20"/>
    <x v="0"/>
    <n v="123"/>
    <x v="0"/>
    <n v="150"/>
    <n v="65"/>
    <n v="1.8"/>
    <x v="2"/>
    <n v="8"/>
    <n v="0.12"/>
    <n v="0.02"/>
    <n v="18450"/>
    <n v="18081"/>
    <n v="221.4"/>
    <n v="2169.7199999999998"/>
    <n v="2170"/>
    <n v="7995"/>
    <n v="5746.2800000000007"/>
    <n v="0.31780764338255602"/>
  </r>
  <r>
    <s v="ORD-1368"/>
    <d v="2026-05-16T08:00:00"/>
    <s v="P-003"/>
    <s v="BR-20"/>
    <x v="1"/>
    <n v="123"/>
    <x v="0"/>
    <n v="150"/>
    <n v="65"/>
    <n v="1.8"/>
    <x v="2"/>
    <n v="8"/>
    <n v="0.12"/>
    <n v="0.1"/>
    <n v="18450"/>
    <n v="16605"/>
    <n v="221.4"/>
    <n v="1992.6"/>
    <n v="1993"/>
    <n v="7995"/>
    <n v="4624.3999999999996"/>
    <n v="0.27849442938873797"/>
  </r>
  <r>
    <s v="ORD-1376"/>
    <d v="2026-05-16T16:00:00"/>
    <s v="P-003"/>
    <s v="BR-20"/>
    <x v="2"/>
    <n v="174"/>
    <x v="0"/>
    <n v="150"/>
    <n v="65"/>
    <n v="1.8"/>
    <x v="2"/>
    <n v="8"/>
    <n v="0.12"/>
    <n v="0.05"/>
    <n v="26100"/>
    <n v="24795"/>
    <n v="313.2"/>
    <n v="2975.4"/>
    <n v="2975"/>
    <n v="11310"/>
    <n v="7534.5999999999985"/>
    <n v="0.30387578140754201"/>
  </r>
  <r>
    <s v="ORD-1395"/>
    <d v="2026-05-17T11:00:00"/>
    <s v="P-003"/>
    <s v="BR-20"/>
    <x v="1"/>
    <n v="16"/>
    <x v="0"/>
    <n v="150"/>
    <n v="65"/>
    <n v="1.8"/>
    <x v="2"/>
    <n v="8"/>
    <n v="0.12"/>
    <n v="0.1"/>
    <n v="2400"/>
    <n v="2160"/>
    <n v="28.8"/>
    <n v="259.2"/>
    <n v="259"/>
    <n v="1040"/>
    <n v="601.79999999999995"/>
    <n v="0.27861111111111098"/>
  </r>
  <r>
    <s v="ORD-1398"/>
    <d v="2026-05-17T14:00:00"/>
    <s v="P-003"/>
    <s v="BR-20"/>
    <x v="0"/>
    <n v="26"/>
    <x v="0"/>
    <n v="150"/>
    <n v="65"/>
    <n v="1.8"/>
    <x v="2"/>
    <n v="8"/>
    <n v="0.12"/>
    <n v="0.02"/>
    <n v="3900"/>
    <n v="3822"/>
    <n v="46.800000000000004"/>
    <n v="458.64"/>
    <n v="459"/>
    <n v="1690"/>
    <n v="1214.3600000000001"/>
    <n v="0.31772893772893801"/>
  </r>
  <r>
    <s v="ORD-1404"/>
    <d v="2026-05-17T20:00:00"/>
    <s v="P-003"/>
    <s v="BR-20"/>
    <x v="1"/>
    <n v="123"/>
    <x v="0"/>
    <n v="150"/>
    <n v="65"/>
    <n v="1.8"/>
    <x v="2"/>
    <n v="8"/>
    <n v="0.12"/>
    <n v="0.1"/>
    <n v="18450"/>
    <n v="16605"/>
    <n v="221.4"/>
    <n v="1992.6"/>
    <n v="1993"/>
    <n v="7995"/>
    <n v="4624.3999999999996"/>
    <n v="0.27849442938873797"/>
  </r>
  <r>
    <s v="ORD-1422"/>
    <d v="2026-05-18T14:00:00"/>
    <s v="P-003"/>
    <s v="BR-20"/>
    <x v="2"/>
    <n v="36"/>
    <x v="0"/>
    <n v="150"/>
    <n v="65"/>
    <n v="1.8"/>
    <x v="2"/>
    <n v="8"/>
    <n v="0.12"/>
    <n v="0.05"/>
    <n v="5400"/>
    <n v="5130"/>
    <n v="64.8"/>
    <n v="615.6"/>
    <n v="616"/>
    <n v="2340"/>
    <n v="1558.4"/>
    <n v="0.30378167641325499"/>
  </r>
  <r>
    <s v="ORD-1433"/>
    <d v="2026-05-19T01:00:00"/>
    <s v="P-003"/>
    <s v="BR-20"/>
    <x v="1"/>
    <n v="183"/>
    <x v="0"/>
    <n v="150"/>
    <n v="65"/>
    <n v="1.8"/>
    <x v="2"/>
    <n v="8"/>
    <n v="0.12"/>
    <n v="0.1"/>
    <n v="27450"/>
    <n v="24705"/>
    <n v="329.40000000000003"/>
    <n v="2964.6"/>
    <n v="2965"/>
    <n v="11895"/>
    <n v="6880.4000000000015"/>
    <n v="0.27850232746407599"/>
  </r>
  <r>
    <s v="ORD-1434"/>
    <d v="2026-05-19T02:00:00"/>
    <s v="P-003"/>
    <s v="BR-20"/>
    <x v="1"/>
    <n v="32"/>
    <x v="0"/>
    <n v="150"/>
    <n v="65"/>
    <n v="1.8"/>
    <x v="2"/>
    <n v="8"/>
    <n v="0.12"/>
    <n v="0.1"/>
    <n v="4800"/>
    <n v="4320"/>
    <n v="57.6"/>
    <n v="518.4"/>
    <n v="518"/>
    <n v="2080"/>
    <n v="1203.5999999999999"/>
    <n v="0.27861111111111098"/>
  </r>
  <r>
    <s v="ORD-1437"/>
    <d v="2026-05-19T05:00:00"/>
    <s v="P-003"/>
    <s v="BR-20"/>
    <x v="1"/>
    <n v="199"/>
    <x v="0"/>
    <n v="150"/>
    <n v="65"/>
    <n v="1.8"/>
    <x v="2"/>
    <n v="8"/>
    <n v="0.12"/>
    <n v="0.1"/>
    <n v="29850"/>
    <n v="26865"/>
    <n v="358.2"/>
    <n v="3223.7999999999997"/>
    <n v="3224"/>
    <n v="12935"/>
    <n v="7482.2000000000007"/>
    <n v="0.27851107388795798"/>
  </r>
  <r>
    <s v="ORD-1454"/>
    <d v="2026-05-19T22:00:00"/>
    <s v="P-003"/>
    <s v="BR-20"/>
    <x v="2"/>
    <n v="141"/>
    <x v="0"/>
    <n v="150"/>
    <n v="65"/>
    <n v="1.8"/>
    <x v="2"/>
    <n v="8"/>
    <n v="0.12"/>
    <n v="0.05"/>
    <n v="21150"/>
    <n v="20092"/>
    <n v="253.8"/>
    <n v="2411.04"/>
    <n v="2411"/>
    <n v="9165"/>
    <n v="6104.9599999999991"/>
    <n v="0.303850288672108"/>
  </r>
  <r>
    <s v="ORD-1456"/>
    <d v="2026-05-20T00:00:00"/>
    <s v="P-003"/>
    <s v="BR-20"/>
    <x v="0"/>
    <n v="72"/>
    <x v="0"/>
    <n v="150"/>
    <n v="65"/>
    <n v="1.8"/>
    <x v="2"/>
    <n v="8"/>
    <n v="0.12"/>
    <n v="0.02"/>
    <n v="10800"/>
    <n v="10584"/>
    <n v="129.6"/>
    <n v="1270.08"/>
    <n v="1270"/>
    <n v="4680"/>
    <n v="3363.92"/>
    <n v="0.31783068783068802"/>
  </r>
  <r>
    <s v="ORD-1490"/>
    <d v="2026-05-21T10:00:00"/>
    <s v="P-003"/>
    <s v="BR-20"/>
    <x v="1"/>
    <n v="39"/>
    <x v="0"/>
    <n v="150"/>
    <n v="65"/>
    <n v="1.8"/>
    <x v="2"/>
    <n v="8"/>
    <n v="0.12"/>
    <n v="0.1"/>
    <n v="5850"/>
    <n v="5265"/>
    <n v="70.2"/>
    <n v="631.79999999999995"/>
    <n v="632"/>
    <n v="2535"/>
    <n v="1466.1999999999998"/>
    <n v="0.27848053181386501"/>
  </r>
  <r>
    <s v="ORD-1491"/>
    <d v="2026-05-21T11:00:00"/>
    <s v="P-003"/>
    <s v="BR-20"/>
    <x v="0"/>
    <n v="152"/>
    <x v="0"/>
    <n v="150"/>
    <n v="65"/>
    <n v="1.8"/>
    <x v="2"/>
    <n v="8"/>
    <n v="0.12"/>
    <n v="0.02"/>
    <n v="22800"/>
    <n v="22344"/>
    <n v="273.60000000000002"/>
    <n v="2681.2799999999997"/>
    <n v="2681"/>
    <n v="9880"/>
    <n v="7101.7200000000012"/>
    <n v="0.31783566058002199"/>
  </r>
  <r>
    <s v="ORD-1496"/>
    <d v="2026-05-21T16:00:00"/>
    <s v="P-003"/>
    <s v="BR-20"/>
    <x v="1"/>
    <n v="144"/>
    <x v="0"/>
    <n v="150"/>
    <n v="65"/>
    <n v="1.8"/>
    <x v="2"/>
    <n v="8"/>
    <n v="0.12"/>
    <n v="0.1"/>
    <n v="21600"/>
    <n v="19440"/>
    <n v="259.2"/>
    <n v="2332.7999999999997"/>
    <n v="2333"/>
    <n v="9360"/>
    <n v="5414.2000000000007"/>
    <n v="0.27850823045267498"/>
  </r>
  <r>
    <s v="ORD-1503"/>
    <d v="2026-05-21T23:00:00"/>
    <s v="P-003"/>
    <s v="BR-20"/>
    <x v="1"/>
    <n v="47"/>
    <x v="0"/>
    <n v="150"/>
    <n v="65"/>
    <n v="1.8"/>
    <x v="2"/>
    <n v="8"/>
    <n v="0.12"/>
    <n v="0.1"/>
    <n v="7050"/>
    <n v="6345"/>
    <n v="84.600000000000009"/>
    <n v="761.4"/>
    <n v="761"/>
    <n v="3055"/>
    <n v="1767.6000000000004"/>
    <n v="0.27858156028368802"/>
  </r>
  <r>
    <s v="ORD-1505"/>
    <d v="2026-05-22T01:00:00"/>
    <s v="P-003"/>
    <s v="BR-20"/>
    <x v="1"/>
    <n v="119"/>
    <x v="0"/>
    <n v="150"/>
    <n v="65"/>
    <n v="1.8"/>
    <x v="2"/>
    <n v="8"/>
    <n v="0.12"/>
    <n v="0.1"/>
    <n v="17850"/>
    <n v="16065"/>
    <n v="214.20000000000002"/>
    <n v="1927.8"/>
    <n v="1928"/>
    <n v="7735"/>
    <n v="4474.2000000000007"/>
    <n v="0.27850606909430398"/>
  </r>
  <r>
    <s v="ORD-1511"/>
    <d v="2026-05-22T07:00:00"/>
    <s v="P-003"/>
    <s v="BR-20"/>
    <x v="2"/>
    <n v="171"/>
    <x v="0"/>
    <n v="150"/>
    <n v="65"/>
    <n v="1.8"/>
    <x v="2"/>
    <n v="8"/>
    <n v="0.12"/>
    <n v="0.05"/>
    <n v="25650"/>
    <n v="24368"/>
    <n v="307.8"/>
    <n v="2924.16"/>
    <n v="2924"/>
    <n v="11115"/>
    <n v="7404.84"/>
    <n v="0.30387557452396602"/>
  </r>
  <r>
    <s v="ORD-1520"/>
    <d v="2026-05-22T16:00:00"/>
    <s v="P-003"/>
    <s v="BR-20"/>
    <x v="2"/>
    <n v="54"/>
    <x v="0"/>
    <n v="150"/>
    <n v="65"/>
    <n v="1.8"/>
    <x v="2"/>
    <n v="8"/>
    <n v="0.12"/>
    <n v="0.05"/>
    <n v="8100"/>
    <n v="7695"/>
    <n v="97.2"/>
    <n v="923.4"/>
    <n v="923"/>
    <n v="3510"/>
    <n v="2338.6000000000004"/>
    <n v="0.303911630929175"/>
  </r>
  <r>
    <s v="ORD-1539"/>
    <d v="2026-05-23T11:00:00"/>
    <s v="P-003"/>
    <s v="BR-20"/>
    <x v="1"/>
    <n v="125"/>
    <x v="0"/>
    <n v="150"/>
    <n v="65"/>
    <n v="1.8"/>
    <x v="2"/>
    <n v="8"/>
    <n v="0.12"/>
    <n v="0.1"/>
    <n v="18750"/>
    <n v="16875"/>
    <n v="225"/>
    <n v="2025"/>
    <n v="2025"/>
    <n v="8125"/>
    <n v="4700"/>
    <n v="0.278518518518518"/>
  </r>
  <r>
    <s v="ORD-1545"/>
    <d v="2026-05-23T17:00:00"/>
    <s v="P-003"/>
    <s v="BR-20"/>
    <x v="2"/>
    <n v="76"/>
    <x v="0"/>
    <n v="150"/>
    <n v="65"/>
    <n v="1.8"/>
    <x v="2"/>
    <n v="8"/>
    <n v="0.12"/>
    <n v="0.05"/>
    <n v="11400"/>
    <n v="10830"/>
    <n v="136.80000000000001"/>
    <n v="1299.5999999999999"/>
    <n v="1300"/>
    <n v="4940"/>
    <n v="3290.3999999999996"/>
    <n v="0.30382271468144001"/>
  </r>
  <r>
    <s v="ORD-1553"/>
    <d v="2026-05-24T01:00:00"/>
    <s v="P-003"/>
    <s v="BR-20"/>
    <x v="0"/>
    <n v="90"/>
    <x v="0"/>
    <n v="150"/>
    <n v="65"/>
    <n v="1.8"/>
    <x v="2"/>
    <n v="8"/>
    <n v="0.12"/>
    <n v="0.02"/>
    <n v="13500"/>
    <n v="13230"/>
    <n v="162"/>
    <n v="1587.6"/>
    <n v="1588"/>
    <n v="5850"/>
    <n v="4204.3999999999996"/>
    <n v="0.31779289493575202"/>
  </r>
  <r>
    <s v="ORD-1560"/>
    <d v="2026-05-24T08:00:00"/>
    <s v="P-003"/>
    <s v="BR-20"/>
    <x v="2"/>
    <n v="78"/>
    <x v="0"/>
    <n v="150"/>
    <n v="65"/>
    <n v="1.8"/>
    <x v="2"/>
    <n v="8"/>
    <n v="0.12"/>
    <n v="0.05"/>
    <n v="11700"/>
    <n v="11115"/>
    <n v="140.4"/>
    <n v="1333.8"/>
    <n v="1334"/>
    <n v="5070"/>
    <n v="3377.2"/>
    <n v="0.30384165542060299"/>
  </r>
  <r>
    <s v="ORD-1561"/>
    <d v="2026-05-24T09:00:00"/>
    <s v="P-003"/>
    <s v="BR-20"/>
    <x v="1"/>
    <n v="179"/>
    <x v="0"/>
    <n v="150"/>
    <n v="65"/>
    <n v="1.8"/>
    <x v="2"/>
    <n v="8"/>
    <n v="0.12"/>
    <n v="0.1"/>
    <n v="26850"/>
    <n v="24165"/>
    <n v="322.2"/>
    <n v="2899.7999999999997"/>
    <n v="2900"/>
    <n v="11635"/>
    <n v="6730.2000000000007"/>
    <n v="0.278510242085661"/>
  </r>
  <r>
    <s v="ORD-1567"/>
    <d v="2026-05-24T15:00:00"/>
    <s v="P-003"/>
    <s v="BR-20"/>
    <x v="0"/>
    <n v="191"/>
    <x v="0"/>
    <n v="150"/>
    <n v="65"/>
    <n v="1.8"/>
    <x v="2"/>
    <n v="8"/>
    <n v="0.12"/>
    <n v="0.02"/>
    <n v="28650"/>
    <n v="28077"/>
    <n v="343.8"/>
    <n v="3369.24"/>
    <n v="3369"/>
    <n v="12415"/>
    <n v="8923.760000000002"/>
    <n v="0.31783167717348698"/>
  </r>
  <r>
    <s v="ORD-1585"/>
    <d v="2026-05-25T09:00:00"/>
    <s v="P-003"/>
    <s v="BR-20"/>
    <x v="0"/>
    <n v="23"/>
    <x v="0"/>
    <n v="150"/>
    <n v="65"/>
    <n v="1.8"/>
    <x v="2"/>
    <n v="8"/>
    <n v="0.12"/>
    <n v="0.02"/>
    <n v="3450"/>
    <n v="3381"/>
    <n v="41.4"/>
    <n v="405.71999999999997"/>
    <n v="406"/>
    <n v="1495"/>
    <n v="1074.2799999999997"/>
    <n v="0.317740313516711"/>
  </r>
  <r>
    <s v="ORD-1588"/>
    <d v="2026-05-25T12:00:00"/>
    <s v="P-003"/>
    <s v="BR-20"/>
    <x v="0"/>
    <n v="112"/>
    <x v="0"/>
    <n v="150"/>
    <n v="65"/>
    <n v="1.8"/>
    <x v="2"/>
    <n v="8"/>
    <n v="0.12"/>
    <n v="0.02"/>
    <n v="16800"/>
    <n v="16464"/>
    <n v="201.6"/>
    <n v="1975.6799999999998"/>
    <n v="1976"/>
    <n v="7280"/>
    <n v="5232.32"/>
    <n v="0.31780369290573401"/>
  </r>
  <r>
    <s v="ORD-1589"/>
    <d v="2026-05-25T13:00:00"/>
    <s v="P-003"/>
    <s v="BR-20"/>
    <x v="0"/>
    <n v="190"/>
    <x v="0"/>
    <n v="150"/>
    <n v="65"/>
    <n v="1.8"/>
    <x v="2"/>
    <n v="8"/>
    <n v="0.12"/>
    <n v="0.02"/>
    <n v="28500"/>
    <n v="27930"/>
    <n v="342"/>
    <n v="3351.6"/>
    <n v="3352"/>
    <n v="12350"/>
    <n v="8876.4000000000015"/>
    <n v="0.31780880773362002"/>
  </r>
  <r>
    <s v="ORD-1596"/>
    <d v="2026-05-25T20:00:00"/>
    <s v="P-003"/>
    <s v="BR-20"/>
    <x v="2"/>
    <n v="25"/>
    <x v="0"/>
    <n v="150"/>
    <n v="65"/>
    <n v="1.8"/>
    <x v="2"/>
    <n v="8"/>
    <n v="0.12"/>
    <n v="0.05"/>
    <n v="3750"/>
    <n v="3562"/>
    <n v="45"/>
    <n v="427.44"/>
    <n v="427"/>
    <n v="1625"/>
    <n v="1082.56"/>
    <n v="0.30391914654688401"/>
  </r>
  <r>
    <s v="ORD-1603"/>
    <d v="2026-05-26T03:00:00"/>
    <s v="P-003"/>
    <s v="BR-20"/>
    <x v="2"/>
    <n v="127"/>
    <x v="0"/>
    <n v="150"/>
    <n v="65"/>
    <n v="1.8"/>
    <x v="2"/>
    <n v="8"/>
    <n v="0.12"/>
    <n v="0.05"/>
    <n v="19050"/>
    <n v="18098"/>
    <n v="228.6"/>
    <n v="2171.7599999999998"/>
    <n v="2172"/>
    <n v="8255"/>
    <n v="5499.24"/>
    <n v="0.30385898994364002"/>
  </r>
  <r>
    <s v="ORD-1604"/>
    <d v="2026-05-26T04:00:00"/>
    <s v="P-003"/>
    <s v="BR-20"/>
    <x v="0"/>
    <n v="172"/>
    <x v="0"/>
    <n v="150"/>
    <n v="65"/>
    <n v="1.8"/>
    <x v="2"/>
    <n v="8"/>
    <n v="0.12"/>
    <n v="0.02"/>
    <n v="25800"/>
    <n v="25284"/>
    <n v="309.60000000000002"/>
    <n v="3034.08"/>
    <n v="3034"/>
    <n v="11180"/>
    <n v="8035.9199999999983"/>
    <n v="0.31782629330802098"/>
  </r>
  <r>
    <s v="ORD-1605"/>
    <d v="2026-05-26T05:00:00"/>
    <s v="P-003"/>
    <s v="BR-20"/>
    <x v="2"/>
    <n v="69"/>
    <x v="0"/>
    <n v="150"/>
    <n v="65"/>
    <n v="1.8"/>
    <x v="2"/>
    <n v="8"/>
    <n v="0.12"/>
    <n v="0.05"/>
    <n v="10350"/>
    <n v="9832"/>
    <n v="124.2"/>
    <n v="1179.8399999999999"/>
    <n v="1180"/>
    <n v="4485"/>
    <n v="2987.16"/>
    <n v="0.303820179007323"/>
  </r>
  <r>
    <s v="ORD-1616"/>
    <d v="2026-05-26T16:00:00"/>
    <s v="P-003"/>
    <s v="BR-20"/>
    <x v="0"/>
    <n v="104"/>
    <x v="0"/>
    <n v="150"/>
    <n v="65"/>
    <n v="1.8"/>
    <x v="2"/>
    <n v="8"/>
    <n v="0.12"/>
    <n v="0.02"/>
    <n v="15600"/>
    <n v="15288"/>
    <n v="187.20000000000002"/>
    <n v="1834.56"/>
    <n v="1835"/>
    <n v="6760"/>
    <n v="4858.4400000000005"/>
    <n v="0.31779434850863397"/>
  </r>
  <r>
    <s v="ORD-1624"/>
    <d v="2026-05-27T00:00:00"/>
    <s v="P-003"/>
    <s v="BR-20"/>
    <x v="2"/>
    <n v="194"/>
    <x v="0"/>
    <n v="150"/>
    <n v="65"/>
    <n v="1.8"/>
    <x v="2"/>
    <n v="8"/>
    <n v="0.12"/>
    <n v="0.05"/>
    <n v="29100"/>
    <n v="27645"/>
    <n v="349.2"/>
    <n v="3317.4"/>
    <n v="3317"/>
    <n v="12610"/>
    <n v="8400.5999999999985"/>
    <n v="0.303874118285404"/>
  </r>
  <r>
    <s v="ORD-1637"/>
    <d v="2026-05-27T13:00:00"/>
    <s v="P-003"/>
    <s v="BR-20"/>
    <x v="1"/>
    <n v="52"/>
    <x v="0"/>
    <n v="150"/>
    <n v="65"/>
    <n v="1.8"/>
    <x v="2"/>
    <n v="8"/>
    <n v="0.12"/>
    <n v="0.1"/>
    <n v="7800"/>
    <n v="7020"/>
    <n v="93.600000000000009"/>
    <n v="842.4"/>
    <n v="842"/>
    <n v="3380"/>
    <n v="1955.6000000000004"/>
    <n v="0.27857549857549901"/>
  </r>
  <r>
    <s v="ORD-1639"/>
    <d v="2026-05-27T15:00:00"/>
    <s v="P-003"/>
    <s v="BR-20"/>
    <x v="0"/>
    <n v="77"/>
    <x v="0"/>
    <n v="150"/>
    <n v="65"/>
    <n v="1.8"/>
    <x v="2"/>
    <n v="8"/>
    <n v="0.12"/>
    <n v="0.02"/>
    <n v="11550"/>
    <n v="11319"/>
    <n v="138.6"/>
    <n v="1358.28"/>
    <n v="1358"/>
    <n v="5005"/>
    <n v="3597.7200000000003"/>
    <n v="0.31784786641929502"/>
  </r>
  <r>
    <s v="ORD-1644"/>
    <d v="2026-05-27T20:00:00"/>
    <s v="P-003"/>
    <s v="BR-20"/>
    <x v="2"/>
    <n v="36"/>
    <x v="0"/>
    <n v="150"/>
    <n v="65"/>
    <n v="1.8"/>
    <x v="2"/>
    <n v="8"/>
    <n v="0.12"/>
    <n v="0.05"/>
    <n v="5400"/>
    <n v="5130"/>
    <n v="64.8"/>
    <n v="615.6"/>
    <n v="616"/>
    <n v="2340"/>
    <n v="1558.4"/>
    <n v="0.30378167641325499"/>
  </r>
  <r>
    <s v="ORD-1685"/>
    <d v="2026-05-29T13:00:00"/>
    <s v="P-003"/>
    <s v="BR-20"/>
    <x v="0"/>
    <n v="183"/>
    <x v="0"/>
    <n v="150"/>
    <n v="65"/>
    <n v="1.8"/>
    <x v="2"/>
    <n v="8"/>
    <n v="0.12"/>
    <n v="0.02"/>
    <n v="27450"/>
    <n v="26901"/>
    <n v="329.40000000000003"/>
    <n v="3228.12"/>
    <n v="3228"/>
    <n v="11895"/>
    <n v="8549.880000000001"/>
    <n v="0.31782759005241401"/>
  </r>
  <r>
    <s v="ORD-1706"/>
    <d v="2026-05-30T10:00:00"/>
    <s v="P-003"/>
    <s v="BR-20"/>
    <x v="2"/>
    <n v="92"/>
    <x v="0"/>
    <n v="150"/>
    <n v="65"/>
    <n v="1.8"/>
    <x v="2"/>
    <n v="8"/>
    <n v="0.12"/>
    <n v="0.05"/>
    <n v="13800"/>
    <n v="13110"/>
    <n v="165.6"/>
    <n v="1573.2"/>
    <n v="1573"/>
    <n v="5980"/>
    <n v="3983.7999999999993"/>
    <n v="0.30387490465293698"/>
  </r>
  <r>
    <s v="ORD-1711"/>
    <d v="2026-05-30T15:00:00"/>
    <s v="P-003"/>
    <s v="BR-20"/>
    <x v="1"/>
    <n v="51"/>
    <x v="0"/>
    <n v="150"/>
    <n v="65"/>
    <n v="1.8"/>
    <x v="2"/>
    <n v="8"/>
    <n v="0.12"/>
    <n v="0.1"/>
    <n v="7650"/>
    <n v="6885"/>
    <n v="91.8"/>
    <n v="826.19999999999993"/>
    <n v="826"/>
    <n v="3315"/>
    <n v="1917.8000000000002"/>
    <n v="0.278547567175018"/>
  </r>
  <r>
    <s v="ORD-1714"/>
    <d v="2026-05-30T18:00:00"/>
    <s v="P-003"/>
    <s v="BR-20"/>
    <x v="2"/>
    <n v="167"/>
    <x v="0"/>
    <n v="150"/>
    <n v="65"/>
    <n v="1.8"/>
    <x v="2"/>
    <n v="8"/>
    <n v="0.12"/>
    <n v="0.05"/>
    <n v="25050"/>
    <n v="23798"/>
    <n v="300.60000000000002"/>
    <n v="2855.7599999999998"/>
    <n v="2856"/>
    <n v="10855"/>
    <n v="7231.239999999998"/>
    <n v="0.30385914782754803"/>
  </r>
  <r>
    <s v="ORD-1717"/>
    <d v="2026-05-30T21:00:00"/>
    <s v="P-003"/>
    <s v="BR-20"/>
    <x v="0"/>
    <n v="105"/>
    <x v="0"/>
    <n v="150"/>
    <n v="65"/>
    <n v="1.8"/>
    <x v="2"/>
    <n v="8"/>
    <n v="0.12"/>
    <n v="0.02"/>
    <n v="15750"/>
    <n v="15435"/>
    <n v="189"/>
    <n v="1852.1999999999998"/>
    <n v="1852"/>
    <n v="6825"/>
    <n v="4905.7999999999993"/>
    <n v="0.31783608681567899"/>
  </r>
  <r>
    <s v="ORD-1735"/>
    <d v="2026-05-31T15:00:00"/>
    <s v="P-003"/>
    <s v="BR-20"/>
    <x v="2"/>
    <n v="146"/>
    <x v="0"/>
    <n v="150"/>
    <n v="65"/>
    <n v="1.8"/>
    <x v="2"/>
    <n v="8"/>
    <n v="0.12"/>
    <n v="0.05"/>
    <n v="21900"/>
    <n v="20805"/>
    <n v="262.8"/>
    <n v="2496.6"/>
    <n v="2497"/>
    <n v="9490"/>
    <n v="6321.4"/>
    <n v="0.30384042297524599"/>
  </r>
  <r>
    <s v="ORD-1739"/>
    <d v="2026-05-31T19:00:00"/>
    <s v="P-003"/>
    <s v="BR-20"/>
    <x v="2"/>
    <n v="14"/>
    <x v="0"/>
    <n v="150"/>
    <n v="65"/>
    <n v="1.8"/>
    <x v="2"/>
    <n v="8"/>
    <n v="0.12"/>
    <n v="0.05"/>
    <n v="2100"/>
    <n v="1995"/>
    <n v="25.2"/>
    <n v="239.39999999999998"/>
    <n v="239"/>
    <n v="910"/>
    <n v="606.59999999999991"/>
    <n v="0.30406015037593997"/>
  </r>
  <r>
    <s v="ORD-1747"/>
    <d v="2026-06-01T03:00:00"/>
    <s v="P-003"/>
    <s v="BR-20"/>
    <x v="1"/>
    <n v="159"/>
    <x v="0"/>
    <n v="150"/>
    <n v="65"/>
    <n v="1.8"/>
    <x v="2"/>
    <n v="8"/>
    <n v="0.12"/>
    <n v="0.1"/>
    <n v="23850"/>
    <n v="21465"/>
    <n v="286.2"/>
    <n v="2575.7999999999997"/>
    <n v="2576"/>
    <n v="10335"/>
    <n v="5978.2000000000007"/>
    <n v="0.27850920102492399"/>
  </r>
  <r>
    <s v="ORD-1752"/>
    <d v="2026-06-01T08:00:00"/>
    <s v="P-003"/>
    <s v="BR-20"/>
    <x v="0"/>
    <n v="165"/>
    <x v="0"/>
    <n v="150"/>
    <n v="65"/>
    <n v="1.8"/>
    <x v="2"/>
    <n v="8"/>
    <n v="0.12"/>
    <n v="0.02"/>
    <n v="24750"/>
    <n v="24255"/>
    <n v="297"/>
    <n v="2910.6"/>
    <n v="2911"/>
    <n v="10725"/>
    <n v="7708.4000000000015"/>
    <n v="0.31780663780663798"/>
  </r>
  <r>
    <s v="ORD-1755"/>
    <d v="2026-06-01T11:00:00"/>
    <s v="P-003"/>
    <s v="BR-20"/>
    <x v="1"/>
    <n v="183"/>
    <x v="0"/>
    <n v="150"/>
    <n v="65"/>
    <n v="1.8"/>
    <x v="2"/>
    <n v="8"/>
    <n v="0.12"/>
    <n v="0.1"/>
    <n v="27450"/>
    <n v="24705"/>
    <n v="329.40000000000003"/>
    <n v="2964.6"/>
    <n v="2965"/>
    <n v="11895"/>
    <n v="6880.4000000000015"/>
    <n v="0.27850232746407599"/>
  </r>
  <r>
    <s v="ORD-1769"/>
    <d v="2026-06-02T01:00:00"/>
    <s v="P-003"/>
    <s v="BR-20"/>
    <x v="1"/>
    <n v="156"/>
    <x v="0"/>
    <n v="150"/>
    <n v="65"/>
    <n v="1.8"/>
    <x v="2"/>
    <n v="8"/>
    <n v="0.12"/>
    <n v="0.1"/>
    <n v="23400"/>
    <n v="21060"/>
    <n v="280.8"/>
    <n v="2527.1999999999998"/>
    <n v="2527"/>
    <n v="10140"/>
    <n v="5865.7999999999993"/>
    <n v="0.27852801519468201"/>
  </r>
  <r>
    <s v="ORD-1773"/>
    <d v="2026-06-02T05:00:00"/>
    <s v="P-003"/>
    <s v="BR-20"/>
    <x v="2"/>
    <n v="62"/>
    <x v="0"/>
    <n v="150"/>
    <n v="65"/>
    <n v="1.8"/>
    <x v="2"/>
    <n v="8"/>
    <n v="0.12"/>
    <n v="0.05"/>
    <n v="9300"/>
    <n v="8835"/>
    <n v="111.60000000000001"/>
    <n v="1060.2"/>
    <n v="1060"/>
    <n v="4030"/>
    <n v="2684.8"/>
    <n v="0.30388228636106401"/>
  </r>
  <r>
    <s v="ORD-1774"/>
    <d v="2026-06-02T06:00:00"/>
    <s v="P-003"/>
    <s v="BR-20"/>
    <x v="2"/>
    <n v="198"/>
    <x v="0"/>
    <n v="150"/>
    <n v="65"/>
    <n v="1.8"/>
    <x v="2"/>
    <n v="8"/>
    <n v="0.12"/>
    <n v="0.05"/>
    <n v="29700"/>
    <n v="28215"/>
    <n v="356.40000000000003"/>
    <n v="3385.7999999999997"/>
    <n v="3386"/>
    <n v="12870"/>
    <n v="8573.2000000000007"/>
    <n v="0.30385256069466599"/>
  </r>
  <r>
    <s v="ORD-1780"/>
    <d v="2026-06-02T12:00:00"/>
    <s v="P-003"/>
    <s v="BR-20"/>
    <x v="1"/>
    <n v="19"/>
    <x v="0"/>
    <n v="150"/>
    <n v="65"/>
    <n v="1.8"/>
    <x v="2"/>
    <n v="8"/>
    <n v="0.12"/>
    <n v="0.1"/>
    <n v="2850"/>
    <n v="2565"/>
    <n v="34.200000000000003"/>
    <n v="307.8"/>
    <n v="308"/>
    <n v="1235"/>
    <n v="714.2"/>
    <n v="0.27844054580896699"/>
  </r>
  <r>
    <s v="ORD-1783"/>
    <d v="2026-06-02T15:00:00"/>
    <s v="P-003"/>
    <s v="BR-20"/>
    <x v="2"/>
    <n v="182"/>
    <x v="0"/>
    <n v="150"/>
    <n v="65"/>
    <n v="1.8"/>
    <x v="2"/>
    <n v="8"/>
    <n v="0.12"/>
    <n v="0.05"/>
    <n v="27300"/>
    <n v="25935"/>
    <n v="327.60000000000002"/>
    <n v="3112.2"/>
    <n v="3112"/>
    <n v="11830"/>
    <n v="7880.7999999999993"/>
    <n v="0.30386736070946602"/>
  </r>
  <r>
    <s v="ORD-1795"/>
    <d v="2026-06-03T03:00:00"/>
    <s v="P-003"/>
    <s v="BR-20"/>
    <x v="1"/>
    <n v="84"/>
    <x v="0"/>
    <n v="150"/>
    <n v="65"/>
    <n v="1.8"/>
    <x v="2"/>
    <n v="8"/>
    <n v="0.12"/>
    <n v="0.1"/>
    <n v="12600"/>
    <n v="11340"/>
    <n v="151.20000000000002"/>
    <n v="1360.8"/>
    <n v="1361"/>
    <n v="5460"/>
    <n v="3158.2"/>
    <n v="0.27850088183421501"/>
  </r>
  <r>
    <s v="ORD-1802"/>
    <d v="2026-06-03T10:00:00"/>
    <s v="P-003"/>
    <s v="BR-20"/>
    <x v="2"/>
    <n v="66"/>
    <x v="0"/>
    <n v="150"/>
    <n v="65"/>
    <n v="1.8"/>
    <x v="2"/>
    <n v="8"/>
    <n v="0.12"/>
    <n v="0.05"/>
    <n v="9900"/>
    <n v="9405"/>
    <n v="118.8"/>
    <n v="1128.5999999999999"/>
    <n v="1129"/>
    <n v="4290"/>
    <n v="2857.3999999999996"/>
    <n v="0.30381711855396099"/>
  </r>
  <r>
    <s v="ORD-1816"/>
    <d v="2026-06-04T00:00:00"/>
    <s v="P-003"/>
    <s v="BR-20"/>
    <x v="1"/>
    <n v="84"/>
    <x v="0"/>
    <n v="150"/>
    <n v="65"/>
    <n v="1.8"/>
    <x v="2"/>
    <n v="8"/>
    <n v="0.12"/>
    <n v="0.1"/>
    <n v="12600"/>
    <n v="11340"/>
    <n v="151.20000000000002"/>
    <n v="1360.8"/>
    <n v="1361"/>
    <n v="5460"/>
    <n v="3158.2"/>
    <n v="0.27850088183421501"/>
  </r>
  <r>
    <s v="ORD-1818"/>
    <d v="2026-06-04T02:00:00"/>
    <s v="P-003"/>
    <s v="BR-20"/>
    <x v="0"/>
    <n v="36"/>
    <x v="0"/>
    <n v="150"/>
    <n v="65"/>
    <n v="1.8"/>
    <x v="2"/>
    <n v="8"/>
    <n v="0.12"/>
    <n v="0.02"/>
    <n v="5400"/>
    <n v="5292"/>
    <n v="64.8"/>
    <n v="635.04"/>
    <n v="635"/>
    <n v="2340"/>
    <n v="1681.96"/>
    <n v="0.31783068783068802"/>
  </r>
  <r>
    <s v="ORD-1835"/>
    <d v="2026-06-04T19:00:00"/>
    <s v="P-003"/>
    <s v="BR-20"/>
    <x v="0"/>
    <n v="62"/>
    <x v="0"/>
    <n v="150"/>
    <n v="65"/>
    <n v="1.8"/>
    <x v="2"/>
    <n v="8"/>
    <n v="0.12"/>
    <n v="0.02"/>
    <n v="9300"/>
    <n v="9114"/>
    <n v="111.60000000000001"/>
    <n v="1093.68"/>
    <n v="1094"/>
    <n v="4030"/>
    <n v="2896.3199999999997"/>
    <n v="0.31778801843318"/>
  </r>
  <r>
    <s v="ORD-1859"/>
    <d v="2026-06-05T19:00:00"/>
    <s v="P-003"/>
    <s v="BR-20"/>
    <x v="2"/>
    <n v="24"/>
    <x v="0"/>
    <n v="150"/>
    <n v="65"/>
    <n v="1.8"/>
    <x v="2"/>
    <n v="8"/>
    <n v="0.12"/>
    <n v="0.05"/>
    <n v="3600"/>
    <n v="3420"/>
    <n v="43.2"/>
    <n v="410.4"/>
    <n v="410"/>
    <n v="1560"/>
    <n v="1039.5999999999999"/>
    <n v="0.30397660818713401"/>
  </r>
  <r>
    <s v="ORD-1875"/>
    <d v="2026-06-06T11:00:00"/>
    <s v="P-003"/>
    <s v="BR-20"/>
    <x v="0"/>
    <n v="91"/>
    <x v="0"/>
    <n v="150"/>
    <n v="65"/>
    <n v="1.8"/>
    <x v="2"/>
    <n v="8"/>
    <n v="0.12"/>
    <n v="0.02"/>
    <n v="13650"/>
    <n v="13377"/>
    <n v="163.80000000000001"/>
    <n v="1605.24"/>
    <n v="1605"/>
    <n v="5915"/>
    <n v="4251.76"/>
    <n v="0.31784107049413202"/>
  </r>
  <r>
    <s v="ORD-1886"/>
    <d v="2026-06-06T22:00:00"/>
    <s v="P-003"/>
    <s v="BR-20"/>
    <x v="0"/>
    <n v="197"/>
    <x v="0"/>
    <n v="150"/>
    <n v="65"/>
    <n v="1.8"/>
    <x v="2"/>
    <n v="8"/>
    <n v="0.12"/>
    <n v="0.02"/>
    <n v="29550"/>
    <n v="28959"/>
    <n v="354.6"/>
    <n v="3475.08"/>
    <n v="3475"/>
    <n v="12805"/>
    <n v="9203.9199999999983"/>
    <n v="0.317825891778031"/>
  </r>
  <r>
    <s v="ORD-1899"/>
    <d v="2026-06-07T11:00:00"/>
    <s v="P-003"/>
    <s v="BR-20"/>
    <x v="2"/>
    <n v="69"/>
    <x v="0"/>
    <n v="150"/>
    <n v="65"/>
    <n v="1.8"/>
    <x v="2"/>
    <n v="8"/>
    <n v="0.12"/>
    <n v="0.05"/>
    <n v="10350"/>
    <n v="9832"/>
    <n v="124.2"/>
    <n v="1179.8399999999999"/>
    <n v="1180"/>
    <n v="4485"/>
    <n v="2987.16"/>
    <n v="0.303820179007323"/>
  </r>
  <r>
    <s v="ORD-1909"/>
    <d v="2026-06-07T21:00:00"/>
    <s v="P-003"/>
    <s v="BR-20"/>
    <x v="2"/>
    <n v="166"/>
    <x v="0"/>
    <n v="150"/>
    <n v="65"/>
    <n v="1.8"/>
    <x v="2"/>
    <n v="8"/>
    <n v="0.12"/>
    <n v="0.05"/>
    <n v="24900"/>
    <n v="23655"/>
    <n v="298.8"/>
    <n v="2838.6"/>
    <n v="2839"/>
    <n v="10790"/>
    <n v="7187.4000000000015"/>
    <n v="0.30384273937856698"/>
  </r>
  <r>
    <s v="ORD-1928"/>
    <d v="2026-06-08T16:00:00"/>
    <s v="P-003"/>
    <s v="BR-20"/>
    <x v="1"/>
    <n v="13"/>
    <x v="0"/>
    <n v="150"/>
    <n v="65"/>
    <n v="1.8"/>
    <x v="2"/>
    <n v="8"/>
    <n v="0.12"/>
    <n v="0.1"/>
    <n v="1950"/>
    <n v="1755"/>
    <n v="23.400000000000002"/>
    <n v="210.6"/>
    <n v="211"/>
    <n v="845"/>
    <n v="488.40000000000009"/>
    <n v="0.27829059829059799"/>
  </r>
  <r>
    <s v="ORD-1929"/>
    <d v="2026-06-08T17:00:00"/>
    <s v="P-003"/>
    <s v="BR-20"/>
    <x v="2"/>
    <n v="164"/>
    <x v="0"/>
    <n v="150"/>
    <n v="65"/>
    <n v="1.8"/>
    <x v="2"/>
    <n v="8"/>
    <n v="0.12"/>
    <n v="0.05"/>
    <n v="24600"/>
    <n v="23370"/>
    <n v="295.2"/>
    <n v="2804.4"/>
    <n v="2804"/>
    <n v="10660"/>
    <n v="7101.6"/>
    <n v="0.30387676508344003"/>
  </r>
  <r>
    <s v="ORD-1932"/>
    <d v="2026-06-08T20:00:00"/>
    <s v="P-003"/>
    <s v="BR-20"/>
    <x v="1"/>
    <n v="165"/>
    <x v="0"/>
    <n v="150"/>
    <n v="65"/>
    <n v="1.8"/>
    <x v="2"/>
    <n v="8"/>
    <n v="0.12"/>
    <n v="0.1"/>
    <n v="24750"/>
    <n v="22275"/>
    <n v="297"/>
    <n v="2673"/>
    <n v="2673"/>
    <n v="10725"/>
    <n v="6204"/>
    <n v="0.278518518518518"/>
  </r>
  <r>
    <s v="ORD-1942"/>
    <d v="2026-06-09T06:00:00"/>
    <s v="P-003"/>
    <s v="BR-20"/>
    <x v="1"/>
    <n v="194"/>
    <x v="0"/>
    <n v="150"/>
    <n v="65"/>
    <n v="1.8"/>
    <x v="2"/>
    <n v="8"/>
    <n v="0.12"/>
    <n v="0.1"/>
    <n v="29100"/>
    <n v="26190"/>
    <n v="349.2"/>
    <n v="3142.7999999999997"/>
    <n v="3143"/>
    <n v="12610"/>
    <n v="7294.2000000000007"/>
    <n v="0.27851088201603702"/>
  </r>
  <r>
    <s v="ORD-1955"/>
    <d v="2026-06-09T19:00:00"/>
    <s v="P-003"/>
    <s v="BR-20"/>
    <x v="2"/>
    <n v="178"/>
    <x v="0"/>
    <n v="150"/>
    <n v="65"/>
    <n v="1.8"/>
    <x v="2"/>
    <n v="8"/>
    <n v="0.12"/>
    <n v="0.05"/>
    <n v="26700"/>
    <n v="25365"/>
    <n v="320.40000000000003"/>
    <n v="3043.7999999999997"/>
    <n v="3044"/>
    <n v="11570"/>
    <n v="7707.2000000000007"/>
    <n v="0.303851764242066"/>
  </r>
  <r>
    <s v="ORD-1957"/>
    <d v="2026-06-09T21:00:00"/>
    <s v="P-003"/>
    <s v="BR-20"/>
    <x v="0"/>
    <n v="19"/>
    <x v="0"/>
    <n v="150"/>
    <n v="65"/>
    <n v="1.8"/>
    <x v="2"/>
    <n v="8"/>
    <n v="0.12"/>
    <n v="0.02"/>
    <n v="2850"/>
    <n v="2793"/>
    <n v="34.200000000000003"/>
    <n v="335.15999999999997"/>
    <n v="335"/>
    <n v="1235"/>
    <n v="887.84000000000015"/>
    <n v="0.317880415324024"/>
  </r>
  <r>
    <s v="ORD-1964"/>
    <d v="2026-06-10T04:00:00"/>
    <s v="P-003"/>
    <s v="BR-20"/>
    <x v="0"/>
    <n v="95"/>
    <x v="0"/>
    <n v="150"/>
    <n v="65"/>
    <n v="1.8"/>
    <x v="2"/>
    <n v="8"/>
    <n v="0.12"/>
    <n v="0.02"/>
    <n v="14250"/>
    <n v="13965"/>
    <n v="171"/>
    <n v="1675.8"/>
    <n v="1676"/>
    <n v="6175"/>
    <n v="4438.2000000000007"/>
    <n v="0.31780880773362002"/>
  </r>
  <r>
    <s v="ORD-1974"/>
    <d v="2026-06-10T14:00:00"/>
    <s v="P-003"/>
    <s v="BR-20"/>
    <x v="1"/>
    <n v="131"/>
    <x v="0"/>
    <n v="150"/>
    <n v="65"/>
    <n v="1.8"/>
    <x v="2"/>
    <n v="8"/>
    <n v="0.12"/>
    <n v="0.1"/>
    <n v="19650"/>
    <n v="17685"/>
    <n v="235.8"/>
    <n v="2122.1999999999998"/>
    <n v="2122"/>
    <n v="8515"/>
    <n v="4925.7999999999993"/>
    <n v="0.27852982753746103"/>
  </r>
  <r>
    <s v="ORD-1979"/>
    <d v="2026-06-10T19:00:00"/>
    <s v="P-003"/>
    <s v="BR-20"/>
    <x v="2"/>
    <n v="163"/>
    <x v="0"/>
    <n v="150"/>
    <n v="65"/>
    <n v="1.8"/>
    <x v="2"/>
    <n v="8"/>
    <n v="0.12"/>
    <n v="0.05"/>
    <n v="24450"/>
    <n v="23228"/>
    <n v="293.40000000000003"/>
    <n v="2787.3599999999997"/>
    <n v="2787"/>
    <n v="10595"/>
    <n v="7058.6399999999994"/>
    <n v="0.30388496641983798"/>
  </r>
  <r>
    <s v="ORD-1988"/>
    <d v="2026-06-11T04:00:00"/>
    <s v="P-003"/>
    <s v="BR-20"/>
    <x v="0"/>
    <n v="43"/>
    <x v="0"/>
    <n v="150"/>
    <n v="65"/>
    <n v="1.8"/>
    <x v="2"/>
    <n v="8"/>
    <n v="0.12"/>
    <n v="0.02"/>
    <n v="6450"/>
    <n v="6321"/>
    <n v="77.400000000000006"/>
    <n v="758.52"/>
    <n v="759"/>
    <n v="2795"/>
    <n v="2008.4799999999996"/>
    <n v="0.31774719190001599"/>
  </r>
  <r>
    <s v="ORD-1993"/>
    <d v="2026-06-11T09:00:00"/>
    <s v="P-003"/>
    <s v="BR-20"/>
    <x v="2"/>
    <n v="48"/>
    <x v="0"/>
    <n v="150"/>
    <n v="65"/>
    <n v="1.8"/>
    <x v="2"/>
    <n v="8"/>
    <n v="0.12"/>
    <n v="0.05"/>
    <n v="7200"/>
    <n v="6840"/>
    <n v="86.4"/>
    <n v="820.8"/>
    <n v="821"/>
    <n v="3120"/>
    <n v="2078.1999999999998"/>
    <n v="0.30383040935672501"/>
  </r>
  <r>
    <s v="ORD-1998"/>
    <d v="2026-06-11T14:00:00"/>
    <s v="P-003"/>
    <s v="BR-20"/>
    <x v="0"/>
    <n v="115"/>
    <x v="0"/>
    <n v="150"/>
    <n v="65"/>
    <n v="1.8"/>
    <x v="2"/>
    <n v="8"/>
    <n v="0.12"/>
    <n v="0.02"/>
    <n v="17250"/>
    <n v="16905"/>
    <n v="207"/>
    <n v="2028.6"/>
    <n v="2029"/>
    <n v="7475"/>
    <n v="5372.4"/>
    <n v="0.31779946761313199"/>
  </r>
  <r>
    <s v="ORD-1999"/>
    <d v="2026-06-11T15:00:00"/>
    <s v="P-003"/>
    <s v="BR-20"/>
    <x v="1"/>
    <n v="135"/>
    <x v="0"/>
    <n v="150"/>
    <n v="65"/>
    <n v="1.8"/>
    <x v="2"/>
    <n v="8"/>
    <n v="0.12"/>
    <n v="0.1"/>
    <n v="20250"/>
    <n v="18225"/>
    <n v="243"/>
    <n v="2187"/>
    <n v="2187"/>
    <n v="8775"/>
    <n v="5076"/>
    <n v="0.278518518518518"/>
  </r>
  <r>
    <s v="ORD-1015"/>
    <d v="2026-05-01T15:00:00"/>
    <s v="P-002"/>
    <s v="BR-30"/>
    <x v="2"/>
    <n v="43"/>
    <x v="1"/>
    <n v="280"/>
    <n v="110"/>
    <n v="2.2000000000000002"/>
    <x v="1"/>
    <n v="12.5"/>
    <n v="0.15"/>
    <n v="0.05"/>
    <n v="12040"/>
    <n v="11438"/>
    <n v="94.600000000000009"/>
    <n v="1715.7"/>
    <n v="1716"/>
    <n v="4730"/>
    <n v="3276.3"/>
    <n v="0.28643993705193199"/>
  </r>
  <r>
    <s v="ORD-1018"/>
    <d v="2026-05-01T18:00:00"/>
    <s v="P-002"/>
    <s v="BR-30"/>
    <x v="2"/>
    <n v="159"/>
    <x v="1"/>
    <n v="280"/>
    <n v="110"/>
    <n v="2.2000000000000002"/>
    <x v="1"/>
    <n v="12.5"/>
    <n v="0.15"/>
    <n v="0.05"/>
    <n v="44520"/>
    <n v="42294"/>
    <n v="349.8"/>
    <n v="6344.0999999999995"/>
    <n v="6344"/>
    <n v="17490"/>
    <n v="12115.900000000001"/>
    <n v="0.28646852981510401"/>
  </r>
  <r>
    <s v="ORD-1028"/>
    <d v="2026-05-02T04:00:00"/>
    <s v="P-002"/>
    <s v="BR-30"/>
    <x v="1"/>
    <n v="97"/>
    <x v="1"/>
    <n v="280"/>
    <n v="110"/>
    <n v="2.2000000000000002"/>
    <x v="1"/>
    <n v="12.5"/>
    <n v="0.15"/>
    <n v="0.1"/>
    <n v="27160"/>
    <n v="24444"/>
    <n v="213.4"/>
    <n v="3666.6"/>
    <n v="3667"/>
    <n v="10670"/>
    <n v="6440.4000000000015"/>
    <n v="0.26347569955817401"/>
  </r>
  <r>
    <s v="ORD-1044"/>
    <d v="2026-05-02T20:00:00"/>
    <s v="P-002"/>
    <s v="BR-30"/>
    <x v="1"/>
    <n v="103"/>
    <x v="1"/>
    <n v="280"/>
    <n v="110"/>
    <n v="2.2000000000000002"/>
    <x v="1"/>
    <n v="12.5"/>
    <n v="0.15"/>
    <n v="0.1"/>
    <n v="28840"/>
    <n v="25956"/>
    <n v="226.60000000000002"/>
    <n v="3893.3999999999996"/>
    <n v="3893"/>
    <n v="11330"/>
    <n v="6839.5999999999985"/>
    <n v="0.26350747418708598"/>
  </r>
  <r>
    <s v="ORD-1057"/>
    <d v="2026-05-03T09:00:00"/>
    <s v="P-002"/>
    <s v="BR-30"/>
    <x v="0"/>
    <n v="29"/>
    <x v="1"/>
    <n v="280"/>
    <n v="110"/>
    <n v="2.2000000000000002"/>
    <x v="1"/>
    <n v="12.5"/>
    <n v="0.15"/>
    <n v="0.02"/>
    <n v="8120"/>
    <n v="7958"/>
    <n v="63.800000000000004"/>
    <n v="1193.7"/>
    <n v="1194"/>
    <n v="3190"/>
    <n v="2380.3000000000002"/>
    <n v="0.29910781603417902"/>
  </r>
  <r>
    <s v="ORD-1060"/>
    <d v="2026-05-03T12:00:00"/>
    <s v="P-002"/>
    <s v="BR-30"/>
    <x v="1"/>
    <n v="117"/>
    <x v="1"/>
    <n v="280"/>
    <n v="110"/>
    <n v="2.2000000000000002"/>
    <x v="1"/>
    <n v="12.5"/>
    <n v="0.15"/>
    <n v="0.1"/>
    <n v="32760"/>
    <n v="29484"/>
    <n v="257.40000000000003"/>
    <n v="4422.5999999999995"/>
    <n v="4423"/>
    <n v="12870"/>
    <n v="7768.4000000000015"/>
    <n v="0.26347849681183"/>
  </r>
  <r>
    <s v="ORD-1070"/>
    <d v="2026-05-03T22:00:00"/>
    <s v="P-002"/>
    <s v="BR-30"/>
    <x v="2"/>
    <n v="136"/>
    <x v="1"/>
    <n v="280"/>
    <n v="110"/>
    <n v="2.2000000000000002"/>
    <x v="1"/>
    <n v="12.5"/>
    <n v="0.15"/>
    <n v="0.05"/>
    <n v="38080"/>
    <n v="36176"/>
    <n v="299.20000000000005"/>
    <n v="5426.4"/>
    <n v="5426"/>
    <n v="14960"/>
    <n v="10363.599999999999"/>
    <n v="0.286477222467934"/>
  </r>
  <r>
    <s v="ORD-1075"/>
    <d v="2026-05-04T03:00:00"/>
    <s v="P-002"/>
    <s v="BR-30"/>
    <x v="0"/>
    <n v="45"/>
    <x v="1"/>
    <n v="280"/>
    <n v="110"/>
    <n v="2.2000000000000002"/>
    <x v="1"/>
    <n v="12.5"/>
    <n v="0.15"/>
    <n v="0.02"/>
    <n v="12600"/>
    <n v="12348"/>
    <n v="99.000000000000014"/>
    <n v="1852.1999999999998"/>
    <n v="1852"/>
    <n v="4950"/>
    <n v="3693.7999999999993"/>
    <n v="0.29914156138645898"/>
  </r>
  <r>
    <s v="ORD-1098"/>
    <d v="2026-05-05T02:00:00"/>
    <s v="P-002"/>
    <s v="BR-30"/>
    <x v="2"/>
    <n v="172"/>
    <x v="1"/>
    <n v="280"/>
    <n v="110"/>
    <n v="2.2000000000000002"/>
    <x v="1"/>
    <n v="12.5"/>
    <n v="0.15"/>
    <n v="0.05"/>
    <n v="48160"/>
    <n v="45752"/>
    <n v="378.40000000000003"/>
    <n v="6862.8"/>
    <n v="6863"/>
    <n v="18920"/>
    <n v="13106.2"/>
    <n v="0.28646179401993399"/>
  </r>
  <r>
    <s v="ORD-1126"/>
    <d v="2026-05-06T06:00:00"/>
    <s v="P-002"/>
    <s v="BR-30"/>
    <x v="1"/>
    <n v="85"/>
    <x v="1"/>
    <n v="280"/>
    <n v="110"/>
    <n v="2.2000000000000002"/>
    <x v="1"/>
    <n v="12.5"/>
    <n v="0.15"/>
    <n v="0.1"/>
    <n v="23800"/>
    <n v="21420"/>
    <n v="187.00000000000003"/>
    <n v="3213"/>
    <n v="3213"/>
    <n v="9350"/>
    <n v="5644"/>
    <n v="0.263492063492064"/>
  </r>
  <r>
    <s v="ORD-1135"/>
    <d v="2026-05-06T15:00:00"/>
    <s v="P-002"/>
    <s v="BR-30"/>
    <x v="0"/>
    <n v="189"/>
    <x v="1"/>
    <n v="280"/>
    <n v="110"/>
    <n v="2.2000000000000002"/>
    <x v="1"/>
    <n v="12.5"/>
    <n v="0.15"/>
    <n v="0.02"/>
    <n v="52920"/>
    <n v="51862"/>
    <n v="415.8"/>
    <n v="7779.2999999999993"/>
    <n v="7779"/>
    <n v="20790"/>
    <n v="15513.699999999997"/>
    <n v="0.29913424087000101"/>
  </r>
  <r>
    <s v="ORD-1146"/>
    <d v="2026-05-07T02:00:00"/>
    <s v="P-002"/>
    <s v="BR-30"/>
    <x v="1"/>
    <n v="53"/>
    <x v="1"/>
    <n v="280"/>
    <n v="110"/>
    <n v="2.2000000000000002"/>
    <x v="1"/>
    <n v="12.5"/>
    <n v="0.15"/>
    <n v="0.1"/>
    <n v="14840"/>
    <n v="13356"/>
    <n v="116.60000000000001"/>
    <n v="2003.3999999999999"/>
    <n v="2003"/>
    <n v="5830"/>
    <n v="3519.6000000000004"/>
    <n v="0.26352201257861602"/>
  </r>
  <r>
    <s v="ORD-1156"/>
    <d v="2026-05-07T12:00:00"/>
    <s v="P-002"/>
    <s v="BR-30"/>
    <x v="1"/>
    <n v="98"/>
    <x v="1"/>
    <n v="280"/>
    <n v="110"/>
    <n v="2.2000000000000002"/>
    <x v="1"/>
    <n v="12.5"/>
    <n v="0.15"/>
    <n v="0.1"/>
    <n v="27440"/>
    <n v="24696"/>
    <n v="215.60000000000002"/>
    <n v="3704.3999999999996"/>
    <n v="3704"/>
    <n v="10780"/>
    <n v="6507.5999999999985"/>
    <n v="0.26350826044703601"/>
  </r>
  <r>
    <s v="ORD-1157"/>
    <d v="2026-05-07T13:00:00"/>
    <s v="P-002"/>
    <s v="BR-30"/>
    <x v="0"/>
    <n v="66"/>
    <x v="1"/>
    <n v="280"/>
    <n v="110"/>
    <n v="2.2000000000000002"/>
    <x v="1"/>
    <n v="12.5"/>
    <n v="0.15"/>
    <n v="0.02"/>
    <n v="18480"/>
    <n v="18110"/>
    <n v="145.20000000000002"/>
    <n v="2716.5"/>
    <n v="2716"/>
    <n v="7260"/>
    <n v="5417.5"/>
    <n v="0.299144119271121"/>
  </r>
  <r>
    <s v="ORD-1158"/>
    <d v="2026-05-07T14:00:00"/>
    <s v="P-002"/>
    <s v="BR-30"/>
    <x v="2"/>
    <n v="84"/>
    <x v="1"/>
    <n v="280"/>
    <n v="110"/>
    <n v="2.2000000000000002"/>
    <x v="1"/>
    <n v="12.5"/>
    <n v="0.15"/>
    <n v="0.05"/>
    <n v="23520"/>
    <n v="22344"/>
    <n v="184.8"/>
    <n v="3351.6"/>
    <n v="3352"/>
    <n v="9240"/>
    <n v="6400.4"/>
    <n v="0.286448263515933"/>
  </r>
  <r>
    <s v="ORD-1159"/>
    <d v="2026-05-07T15:00:00"/>
    <s v="P-002"/>
    <s v="BR-30"/>
    <x v="0"/>
    <n v="127"/>
    <x v="1"/>
    <n v="280"/>
    <n v="110"/>
    <n v="2.2000000000000002"/>
    <x v="1"/>
    <n v="12.5"/>
    <n v="0.15"/>
    <n v="0.02"/>
    <n v="35560"/>
    <n v="34849"/>
    <n v="279.40000000000003"/>
    <n v="5227.3499999999995"/>
    <n v="5227"/>
    <n v="13970"/>
    <n v="10424.650000000001"/>
    <n v="0.29913770839909298"/>
  </r>
  <r>
    <s v="ORD-1160"/>
    <d v="2026-05-07T16:00:00"/>
    <s v="P-002"/>
    <s v="BR-30"/>
    <x v="2"/>
    <n v="193"/>
    <x v="1"/>
    <n v="280"/>
    <n v="110"/>
    <n v="2.2000000000000002"/>
    <x v="1"/>
    <n v="12.5"/>
    <n v="0.15"/>
    <n v="0.05"/>
    <n v="54040"/>
    <n v="51338"/>
    <n v="424.6"/>
    <n v="7700.7"/>
    <n v="7701"/>
    <n v="21230"/>
    <n v="14706.300000000003"/>
    <n v="0.286460321788928"/>
  </r>
  <r>
    <s v="ORD-1167"/>
    <d v="2026-05-07T23:00:00"/>
    <s v="P-002"/>
    <s v="BR-30"/>
    <x v="2"/>
    <n v="173"/>
    <x v="1"/>
    <n v="280"/>
    <n v="110"/>
    <n v="2.2000000000000002"/>
    <x v="1"/>
    <n v="12.5"/>
    <n v="0.15"/>
    <n v="0.05"/>
    <n v="48440"/>
    <n v="46018"/>
    <n v="380.6"/>
    <n v="6902.7"/>
    <n v="6903"/>
    <n v="19030"/>
    <n v="13182.300000000003"/>
    <n v="0.28645964622539"/>
  </r>
  <r>
    <s v="ORD-1175"/>
    <d v="2026-05-08T07:00:00"/>
    <s v="P-002"/>
    <s v="BR-30"/>
    <x v="2"/>
    <n v="110"/>
    <x v="1"/>
    <n v="280"/>
    <n v="110"/>
    <n v="2.2000000000000002"/>
    <x v="1"/>
    <n v="12.5"/>
    <n v="0.15"/>
    <n v="0.05"/>
    <n v="30800"/>
    <n v="29260"/>
    <n v="242.00000000000003"/>
    <n v="4389"/>
    <n v="4389"/>
    <n v="12100"/>
    <n v="8382"/>
    <n v="0.28646616541353398"/>
  </r>
  <r>
    <s v="ORD-1178"/>
    <d v="2026-05-08T10:00:00"/>
    <s v="P-002"/>
    <s v="BR-30"/>
    <x v="1"/>
    <n v="121"/>
    <x v="1"/>
    <n v="280"/>
    <n v="110"/>
    <n v="2.2000000000000002"/>
    <x v="1"/>
    <n v="12.5"/>
    <n v="0.15"/>
    <n v="0.1"/>
    <n v="33880"/>
    <n v="30492"/>
    <n v="266.20000000000005"/>
    <n v="4573.8"/>
    <n v="4574"/>
    <n v="13310"/>
    <n v="8034.2000000000007"/>
    <n v="0.263485504394595"/>
  </r>
  <r>
    <s v="ORD-1179"/>
    <d v="2026-05-08T11:00:00"/>
    <s v="P-002"/>
    <s v="BR-30"/>
    <x v="2"/>
    <n v="82"/>
    <x v="1"/>
    <n v="280"/>
    <n v="110"/>
    <n v="2.2000000000000002"/>
    <x v="1"/>
    <n v="12.5"/>
    <n v="0.15"/>
    <n v="0.05"/>
    <n v="22960"/>
    <n v="21812"/>
    <n v="180.4"/>
    <n v="3271.7999999999997"/>
    <n v="3272"/>
    <n v="9020"/>
    <n v="6248.2000000000007"/>
    <n v="0.28645699614890902"/>
  </r>
  <r>
    <s v="ORD-1181"/>
    <d v="2026-05-08T13:00:00"/>
    <s v="P-002"/>
    <s v="BR-30"/>
    <x v="1"/>
    <n v="179"/>
    <x v="1"/>
    <n v="280"/>
    <n v="110"/>
    <n v="2.2000000000000002"/>
    <x v="1"/>
    <n v="12.5"/>
    <n v="0.15"/>
    <n v="0.1"/>
    <n v="50120"/>
    <n v="45108"/>
    <n v="393.8"/>
    <n v="6766.2"/>
    <n v="6766"/>
    <n v="19690"/>
    <n v="11885.800000000003"/>
    <n v="0.26349649729537999"/>
  </r>
  <r>
    <s v="ORD-1192"/>
    <d v="2026-05-09T00:00:00"/>
    <s v="P-002"/>
    <s v="BR-30"/>
    <x v="2"/>
    <n v="134"/>
    <x v="1"/>
    <n v="280"/>
    <n v="110"/>
    <n v="2.2000000000000002"/>
    <x v="1"/>
    <n v="12.5"/>
    <n v="0.15"/>
    <n v="0.05"/>
    <n v="37520"/>
    <n v="35644"/>
    <n v="294.8"/>
    <n v="5346.5999999999995"/>
    <n v="5347"/>
    <n v="14740"/>
    <n v="10210.400000000001"/>
    <n v="0.28645494332846999"/>
  </r>
  <r>
    <s v="ORD-1194"/>
    <d v="2026-05-09T02:00:00"/>
    <s v="P-002"/>
    <s v="BR-30"/>
    <x v="1"/>
    <n v="97"/>
    <x v="1"/>
    <n v="280"/>
    <n v="110"/>
    <n v="2.2000000000000002"/>
    <x v="1"/>
    <n v="12.5"/>
    <n v="0.15"/>
    <n v="0.1"/>
    <n v="27160"/>
    <n v="24444"/>
    <n v="213.4"/>
    <n v="3666.6"/>
    <n v="3667"/>
    <n v="10670"/>
    <n v="6440.4000000000015"/>
    <n v="0.26347569955817401"/>
  </r>
  <r>
    <s v="ORD-1204"/>
    <d v="2026-05-09T12:00:00"/>
    <s v="P-002"/>
    <s v="BR-30"/>
    <x v="0"/>
    <n v="36"/>
    <x v="1"/>
    <n v="280"/>
    <n v="110"/>
    <n v="2.2000000000000002"/>
    <x v="1"/>
    <n v="12.5"/>
    <n v="0.15"/>
    <n v="0.02"/>
    <n v="10080"/>
    <n v="9878"/>
    <n v="79.2"/>
    <n v="1481.7"/>
    <n v="1482"/>
    <n v="3960"/>
    <n v="2954.3"/>
    <n v="0.29907876088277002"/>
  </r>
  <r>
    <s v="ORD-1207"/>
    <d v="2026-05-09T15:00:00"/>
    <s v="P-002"/>
    <s v="BR-30"/>
    <x v="2"/>
    <n v="26"/>
    <x v="1"/>
    <n v="280"/>
    <n v="110"/>
    <n v="2.2000000000000002"/>
    <x v="1"/>
    <n v="12.5"/>
    <n v="0.15"/>
    <n v="0.05"/>
    <n v="7280"/>
    <n v="6916"/>
    <n v="57.2"/>
    <n v="1037.3999999999999"/>
    <n v="1037"/>
    <n v="2860"/>
    <n v="1981.6000000000004"/>
    <n v="0.28652400231347602"/>
  </r>
  <r>
    <s v="ORD-1211"/>
    <d v="2026-05-09T19:00:00"/>
    <s v="P-002"/>
    <s v="BR-30"/>
    <x v="2"/>
    <n v="104"/>
    <x v="1"/>
    <n v="280"/>
    <n v="110"/>
    <n v="2.2000000000000002"/>
    <x v="1"/>
    <n v="12.5"/>
    <n v="0.15"/>
    <n v="0.05"/>
    <n v="29120"/>
    <n v="27664"/>
    <n v="228.8"/>
    <n v="4149.5999999999995"/>
    <n v="4150"/>
    <n v="11440"/>
    <n v="7924.4000000000015"/>
    <n v="0.28645170618854798"/>
  </r>
  <r>
    <s v="ORD-1232"/>
    <d v="2026-05-10T16:00:00"/>
    <s v="P-002"/>
    <s v="BR-30"/>
    <x v="0"/>
    <n v="113"/>
    <x v="1"/>
    <n v="280"/>
    <n v="110"/>
    <n v="2.2000000000000002"/>
    <x v="1"/>
    <n v="12.5"/>
    <n v="0.15"/>
    <n v="0.02"/>
    <n v="31640"/>
    <n v="31007"/>
    <n v="248.60000000000002"/>
    <n v="4651.05"/>
    <n v="4651"/>
    <n v="12430"/>
    <n v="9274.9500000000007"/>
    <n v="0.29912439126648799"/>
  </r>
  <r>
    <s v="ORD-1247"/>
    <d v="2026-05-11T07:00:00"/>
    <s v="P-002"/>
    <s v="BR-30"/>
    <x v="1"/>
    <n v="42"/>
    <x v="1"/>
    <n v="280"/>
    <n v="110"/>
    <n v="2.2000000000000002"/>
    <x v="1"/>
    <n v="12.5"/>
    <n v="0.15"/>
    <n v="0.1"/>
    <n v="11760"/>
    <n v="10584"/>
    <n v="92.4"/>
    <n v="1587.6"/>
    <n v="1588"/>
    <n v="4620"/>
    <n v="2788.3999999999996"/>
    <n v="0.263454270597128"/>
  </r>
  <r>
    <s v="ORD-1248"/>
    <d v="2026-05-11T08:00:00"/>
    <s v="P-002"/>
    <s v="BR-30"/>
    <x v="1"/>
    <n v="28"/>
    <x v="1"/>
    <n v="280"/>
    <n v="110"/>
    <n v="2.2000000000000002"/>
    <x v="1"/>
    <n v="12.5"/>
    <n v="0.15"/>
    <n v="0.1"/>
    <n v="7840"/>
    <n v="7056"/>
    <n v="61.600000000000009"/>
    <n v="1058.3999999999999"/>
    <n v="1058"/>
    <n v="3080"/>
    <n v="1859.6000000000004"/>
    <n v="0.26354875283446699"/>
  </r>
  <r>
    <s v="ORD-1264"/>
    <d v="2026-05-12T00:00:00"/>
    <s v="P-002"/>
    <s v="BR-30"/>
    <x v="0"/>
    <n v="101"/>
    <x v="1"/>
    <n v="280"/>
    <n v="110"/>
    <n v="2.2000000000000002"/>
    <x v="1"/>
    <n v="12.5"/>
    <n v="0.15"/>
    <n v="0.02"/>
    <n v="28280"/>
    <n v="27714"/>
    <n v="222.20000000000002"/>
    <n v="4157.0999999999995"/>
    <n v="4157"/>
    <n v="11110"/>
    <n v="8289.9000000000015"/>
    <n v="0.29912318683697797"/>
  </r>
  <r>
    <s v="ORD-1269"/>
    <d v="2026-05-12T05:00:00"/>
    <s v="P-002"/>
    <s v="BR-30"/>
    <x v="0"/>
    <n v="156"/>
    <x v="1"/>
    <n v="280"/>
    <n v="110"/>
    <n v="2.2000000000000002"/>
    <x v="1"/>
    <n v="12.5"/>
    <n v="0.15"/>
    <n v="0.02"/>
    <n v="43680"/>
    <n v="42806"/>
    <n v="343.20000000000005"/>
    <n v="6420.9"/>
    <n v="6421"/>
    <n v="17160"/>
    <n v="12804.099999999999"/>
    <n v="0.29911928234359703"/>
  </r>
  <r>
    <s v="ORD-1271"/>
    <d v="2026-05-12T07:00:00"/>
    <s v="P-002"/>
    <s v="BR-30"/>
    <x v="0"/>
    <n v="67"/>
    <x v="1"/>
    <n v="280"/>
    <n v="110"/>
    <n v="2.2000000000000002"/>
    <x v="1"/>
    <n v="12.5"/>
    <n v="0.15"/>
    <n v="0.02"/>
    <n v="18760"/>
    <n v="18385"/>
    <n v="147.4"/>
    <n v="2757.75"/>
    <n v="2758"/>
    <n v="7370"/>
    <n v="5499.25"/>
    <n v="0.29911612727767201"/>
  </r>
  <r>
    <s v="ORD-1290"/>
    <d v="2026-05-13T02:00:00"/>
    <s v="P-002"/>
    <s v="BR-30"/>
    <x v="2"/>
    <n v="160"/>
    <x v="1"/>
    <n v="280"/>
    <n v="110"/>
    <n v="2.2000000000000002"/>
    <x v="1"/>
    <n v="12.5"/>
    <n v="0.15"/>
    <n v="0.05"/>
    <n v="44800"/>
    <n v="42560"/>
    <n v="352"/>
    <n v="6384"/>
    <n v="6384"/>
    <n v="17600"/>
    <n v="12192"/>
    <n v="0.28646616541353398"/>
  </r>
  <r>
    <s v="ORD-1291"/>
    <d v="2026-05-13T03:00:00"/>
    <s v="P-002"/>
    <s v="BR-30"/>
    <x v="2"/>
    <n v="63"/>
    <x v="1"/>
    <n v="280"/>
    <n v="110"/>
    <n v="2.2000000000000002"/>
    <x v="1"/>
    <n v="12.5"/>
    <n v="0.15"/>
    <n v="0.05"/>
    <n v="17640"/>
    <n v="16758"/>
    <n v="138.60000000000002"/>
    <n v="2513.6999999999998"/>
    <n v="2514"/>
    <n v="6930"/>
    <n v="4800.2999999999993"/>
    <n v="0.286448263515933"/>
  </r>
  <r>
    <s v="ORD-1297"/>
    <d v="2026-05-13T09:00:00"/>
    <s v="P-002"/>
    <s v="BR-30"/>
    <x v="2"/>
    <n v="52"/>
    <x v="1"/>
    <n v="280"/>
    <n v="110"/>
    <n v="2.2000000000000002"/>
    <x v="1"/>
    <n v="12.5"/>
    <n v="0.15"/>
    <n v="0.05"/>
    <n v="14560"/>
    <n v="13832"/>
    <n v="114.4"/>
    <n v="2074.7999999999997"/>
    <n v="2075"/>
    <n v="5720"/>
    <n v="3962.2000000000007"/>
    <n v="0.28645170618854798"/>
  </r>
  <r>
    <s v="ORD-1304"/>
    <d v="2026-05-13T16:00:00"/>
    <s v="P-002"/>
    <s v="BR-30"/>
    <x v="2"/>
    <n v="137"/>
    <x v="1"/>
    <n v="280"/>
    <n v="110"/>
    <n v="2.2000000000000002"/>
    <x v="1"/>
    <n v="12.5"/>
    <n v="0.15"/>
    <n v="0.05"/>
    <n v="38360"/>
    <n v="36442"/>
    <n v="301.40000000000003"/>
    <n v="5466.3"/>
    <n v="5466"/>
    <n v="15070"/>
    <n v="10439.700000000001"/>
    <n v="0.28647439767301502"/>
  </r>
  <r>
    <s v="ORD-1316"/>
    <d v="2026-05-14T04:00:00"/>
    <s v="P-002"/>
    <s v="BR-30"/>
    <x v="0"/>
    <n v="133"/>
    <x v="1"/>
    <n v="280"/>
    <n v="110"/>
    <n v="2.2000000000000002"/>
    <x v="1"/>
    <n v="12.5"/>
    <n v="0.15"/>
    <n v="0.02"/>
    <n v="37240"/>
    <n v="36495"/>
    <n v="292.60000000000002"/>
    <n v="5474.25"/>
    <n v="5474"/>
    <n v="14630"/>
    <n v="10916.75"/>
    <n v="0.29913001781065901"/>
  </r>
  <r>
    <s v="ORD-1321"/>
    <d v="2026-05-14T09:00:00"/>
    <s v="P-002"/>
    <s v="BR-30"/>
    <x v="2"/>
    <n v="173"/>
    <x v="1"/>
    <n v="280"/>
    <n v="110"/>
    <n v="2.2000000000000002"/>
    <x v="1"/>
    <n v="12.5"/>
    <n v="0.15"/>
    <n v="0.05"/>
    <n v="48440"/>
    <n v="46018"/>
    <n v="380.6"/>
    <n v="6902.7"/>
    <n v="6903"/>
    <n v="19030"/>
    <n v="13182.300000000003"/>
    <n v="0.28645964622539"/>
  </r>
  <r>
    <s v="ORD-1324"/>
    <d v="2026-05-14T12:00:00"/>
    <s v="P-002"/>
    <s v="BR-30"/>
    <x v="2"/>
    <n v="199"/>
    <x v="1"/>
    <n v="280"/>
    <n v="110"/>
    <n v="2.2000000000000002"/>
    <x v="1"/>
    <n v="12.5"/>
    <n v="0.15"/>
    <n v="0.05"/>
    <n v="55720"/>
    <n v="52934"/>
    <n v="437.8"/>
    <n v="7940.0999999999995"/>
    <n v="7940"/>
    <n v="21890"/>
    <n v="15163.900000000001"/>
    <n v="0.28646805455850699"/>
  </r>
  <r>
    <s v="ORD-1357"/>
    <d v="2026-05-15T21:00:00"/>
    <s v="P-002"/>
    <s v="BR-30"/>
    <x v="0"/>
    <n v="165"/>
    <x v="1"/>
    <n v="280"/>
    <n v="110"/>
    <n v="2.2000000000000002"/>
    <x v="1"/>
    <n v="12.5"/>
    <n v="0.15"/>
    <n v="0.02"/>
    <n v="46200"/>
    <n v="45276"/>
    <n v="363.00000000000006"/>
    <n v="6791.4"/>
    <n v="6791"/>
    <n v="18150"/>
    <n v="13543.599999999999"/>
    <n v="0.29913419913419897"/>
  </r>
  <r>
    <s v="ORD-1361"/>
    <d v="2026-05-16T01:00:00"/>
    <s v="P-002"/>
    <s v="BR-30"/>
    <x v="2"/>
    <n v="45"/>
    <x v="1"/>
    <n v="280"/>
    <n v="110"/>
    <n v="2.2000000000000002"/>
    <x v="1"/>
    <n v="12.5"/>
    <n v="0.15"/>
    <n v="0.05"/>
    <n v="12600"/>
    <n v="11970"/>
    <n v="99.000000000000014"/>
    <n v="1795.5"/>
    <n v="1796"/>
    <n v="4950"/>
    <n v="3428.5"/>
    <n v="0.28642439431913103"/>
  </r>
  <r>
    <s v="ORD-1362"/>
    <d v="2026-05-16T02:00:00"/>
    <s v="P-002"/>
    <s v="BR-30"/>
    <x v="1"/>
    <n v="115"/>
    <x v="1"/>
    <n v="280"/>
    <n v="110"/>
    <n v="2.2000000000000002"/>
    <x v="1"/>
    <n v="12.5"/>
    <n v="0.15"/>
    <n v="0.1"/>
    <n v="32200"/>
    <n v="28980"/>
    <n v="253.00000000000003"/>
    <n v="4347"/>
    <n v="4347"/>
    <n v="12650"/>
    <n v="7636"/>
    <n v="0.263492063492064"/>
  </r>
  <r>
    <s v="ORD-1375"/>
    <d v="2026-05-16T15:00:00"/>
    <s v="P-002"/>
    <s v="BR-30"/>
    <x v="2"/>
    <n v="85"/>
    <x v="1"/>
    <n v="280"/>
    <n v="110"/>
    <n v="2.2000000000000002"/>
    <x v="1"/>
    <n v="12.5"/>
    <n v="0.15"/>
    <n v="0.05"/>
    <n v="23800"/>
    <n v="22610"/>
    <n v="187.00000000000003"/>
    <n v="3391.5"/>
    <n v="3392"/>
    <n v="9350"/>
    <n v="6476.5"/>
    <n v="0.28644405130473199"/>
  </r>
  <r>
    <s v="ORD-1393"/>
    <d v="2026-05-17T09:00:00"/>
    <s v="P-002"/>
    <s v="BR-30"/>
    <x v="1"/>
    <n v="90"/>
    <x v="1"/>
    <n v="280"/>
    <n v="110"/>
    <n v="2.2000000000000002"/>
    <x v="1"/>
    <n v="12.5"/>
    <n v="0.15"/>
    <n v="0.1"/>
    <n v="25200"/>
    <n v="22680"/>
    <n v="198.00000000000003"/>
    <n v="3402"/>
    <n v="3402"/>
    <n v="9900"/>
    <n v="5976"/>
    <n v="0.263492063492064"/>
  </r>
  <r>
    <s v="ORD-1405"/>
    <d v="2026-05-17T21:00:00"/>
    <s v="P-002"/>
    <s v="BR-30"/>
    <x v="1"/>
    <n v="151"/>
    <x v="1"/>
    <n v="280"/>
    <n v="110"/>
    <n v="2.2000000000000002"/>
    <x v="1"/>
    <n v="12.5"/>
    <n v="0.15"/>
    <n v="0.1"/>
    <n v="42280"/>
    <n v="38052"/>
    <n v="332.20000000000005"/>
    <n v="5707.8"/>
    <n v="5708"/>
    <n v="16610"/>
    <n v="10026.200000000001"/>
    <n v="0.26348680752654302"/>
  </r>
  <r>
    <s v="ORD-1420"/>
    <d v="2026-05-18T12:00:00"/>
    <s v="P-002"/>
    <s v="BR-30"/>
    <x v="1"/>
    <n v="54"/>
    <x v="1"/>
    <n v="280"/>
    <n v="110"/>
    <n v="2.2000000000000002"/>
    <x v="1"/>
    <n v="12.5"/>
    <n v="0.15"/>
    <n v="0.1"/>
    <n v="15120"/>
    <n v="13608"/>
    <n v="118.80000000000001"/>
    <n v="2041.1999999999998"/>
    <n v="2041"/>
    <n v="5940"/>
    <n v="3585.7999999999993"/>
    <n v="0.26350676072898299"/>
  </r>
  <r>
    <s v="ORD-1423"/>
    <d v="2026-05-18T15:00:00"/>
    <s v="P-002"/>
    <s v="BR-30"/>
    <x v="0"/>
    <n v="70"/>
    <x v="1"/>
    <n v="280"/>
    <n v="110"/>
    <n v="2.2000000000000002"/>
    <x v="1"/>
    <n v="12.5"/>
    <n v="0.15"/>
    <n v="0.02"/>
    <n v="19600"/>
    <n v="19208"/>
    <n v="154"/>
    <n v="2881.2"/>
    <n v="2881"/>
    <n v="7700"/>
    <n v="5745.7999999999993"/>
    <n v="0.299135776759683"/>
  </r>
  <r>
    <s v="ORD-1441"/>
    <d v="2026-05-19T09:00:00"/>
    <s v="P-002"/>
    <s v="BR-30"/>
    <x v="1"/>
    <n v="166"/>
    <x v="1"/>
    <n v="280"/>
    <n v="110"/>
    <n v="2.2000000000000002"/>
    <x v="1"/>
    <n v="12.5"/>
    <n v="0.15"/>
    <n v="0.1"/>
    <n v="46480"/>
    <n v="41832"/>
    <n v="365.20000000000005"/>
    <n v="6274.8"/>
    <n v="6275"/>
    <n v="18260"/>
    <n v="11022.2"/>
    <n v="0.26348728246318598"/>
  </r>
  <r>
    <s v="ORD-1473"/>
    <d v="2026-05-20T17:00:00"/>
    <s v="P-002"/>
    <s v="BR-30"/>
    <x v="0"/>
    <n v="88"/>
    <x v="1"/>
    <n v="280"/>
    <n v="110"/>
    <n v="2.2000000000000002"/>
    <x v="1"/>
    <n v="12.5"/>
    <n v="0.15"/>
    <n v="0.02"/>
    <n v="24640"/>
    <n v="24147"/>
    <n v="193.60000000000002"/>
    <n v="3622.0499999999997"/>
    <n v="3622"/>
    <n v="9680"/>
    <n v="7222.9500000000007"/>
    <n v="0.29912411479686901"/>
  </r>
  <r>
    <s v="ORD-1480"/>
    <d v="2026-05-21T00:00:00"/>
    <s v="P-002"/>
    <s v="BR-30"/>
    <x v="2"/>
    <n v="126"/>
    <x v="1"/>
    <n v="280"/>
    <n v="110"/>
    <n v="2.2000000000000002"/>
    <x v="1"/>
    <n v="12.5"/>
    <n v="0.15"/>
    <n v="0.05"/>
    <n v="35280"/>
    <n v="33516"/>
    <n v="277.20000000000005"/>
    <n v="5027.3999999999996"/>
    <n v="5027"/>
    <n v="13860"/>
    <n v="9601.5999999999985"/>
    <n v="0.28647810001193502"/>
  </r>
  <r>
    <s v="ORD-1500"/>
    <d v="2026-05-21T20:00:00"/>
    <s v="P-002"/>
    <s v="BR-30"/>
    <x v="1"/>
    <n v="198"/>
    <x v="1"/>
    <n v="280"/>
    <n v="110"/>
    <n v="2.2000000000000002"/>
    <x v="1"/>
    <n v="12.5"/>
    <n v="0.15"/>
    <n v="0.1"/>
    <n v="55440"/>
    <n v="49896"/>
    <n v="435.6"/>
    <n v="7484.4"/>
    <n v="7484"/>
    <n v="21780"/>
    <n v="13147.599999999999"/>
    <n v="0.26350008016674697"/>
  </r>
  <r>
    <s v="ORD-1526"/>
    <d v="2026-05-22T22:00:00"/>
    <s v="P-002"/>
    <s v="BR-30"/>
    <x v="2"/>
    <n v="138"/>
    <x v="1"/>
    <n v="280"/>
    <n v="110"/>
    <n v="2.2000000000000002"/>
    <x v="1"/>
    <n v="12.5"/>
    <n v="0.15"/>
    <n v="0.05"/>
    <n v="38640"/>
    <n v="36708"/>
    <n v="303.60000000000002"/>
    <n v="5506.2"/>
    <n v="5506"/>
    <n v="15180"/>
    <n v="10515.8"/>
    <n v="0.28647161381715203"/>
  </r>
  <r>
    <s v="ORD-1532"/>
    <d v="2026-05-23T04:00:00"/>
    <s v="P-002"/>
    <s v="BR-30"/>
    <x v="1"/>
    <n v="187"/>
    <x v="1"/>
    <n v="280"/>
    <n v="110"/>
    <n v="2.2000000000000002"/>
    <x v="1"/>
    <n v="12.5"/>
    <n v="0.15"/>
    <n v="0.1"/>
    <n v="52360"/>
    <n v="47124"/>
    <n v="411.40000000000003"/>
    <n v="7068.5999999999995"/>
    <n v="7069"/>
    <n v="20570"/>
    <n v="12416.400000000001"/>
    <n v="0.26348357524828098"/>
  </r>
  <r>
    <s v="ORD-1535"/>
    <d v="2026-05-23T07:00:00"/>
    <s v="P-002"/>
    <s v="BR-30"/>
    <x v="1"/>
    <n v="47"/>
    <x v="1"/>
    <n v="280"/>
    <n v="110"/>
    <n v="2.2000000000000002"/>
    <x v="1"/>
    <n v="12.5"/>
    <n v="0.15"/>
    <n v="0.1"/>
    <n v="13160"/>
    <n v="11844"/>
    <n v="103.4"/>
    <n v="1776.6"/>
    <n v="1777"/>
    <n v="5170"/>
    <n v="3120.3999999999996"/>
    <n v="0.26345829111786601"/>
  </r>
  <r>
    <s v="ORD-1538"/>
    <d v="2026-05-23T10:00:00"/>
    <s v="P-002"/>
    <s v="BR-30"/>
    <x v="1"/>
    <n v="169"/>
    <x v="1"/>
    <n v="280"/>
    <n v="110"/>
    <n v="2.2000000000000002"/>
    <x v="1"/>
    <n v="12.5"/>
    <n v="0.15"/>
    <n v="0.1"/>
    <n v="47320"/>
    <n v="42588"/>
    <n v="371.8"/>
    <n v="6388.2"/>
    <n v="6388"/>
    <n v="18590"/>
    <n v="11221.8"/>
    <n v="0.26349675965060598"/>
  </r>
  <r>
    <s v="ORD-1540"/>
    <d v="2026-05-23T12:00:00"/>
    <s v="P-002"/>
    <s v="BR-30"/>
    <x v="1"/>
    <n v="10"/>
    <x v="1"/>
    <n v="280"/>
    <n v="110"/>
    <n v="2.2000000000000002"/>
    <x v="1"/>
    <n v="12.5"/>
    <n v="0.15"/>
    <n v="0.1"/>
    <n v="2800"/>
    <n v="2520"/>
    <n v="22"/>
    <n v="378"/>
    <n v="378"/>
    <n v="1100"/>
    <n v="664"/>
    <n v="0.263492063492064"/>
  </r>
  <r>
    <s v="ORD-1542"/>
    <d v="2026-05-23T14:00:00"/>
    <s v="P-002"/>
    <s v="BR-30"/>
    <x v="1"/>
    <n v="159"/>
    <x v="1"/>
    <n v="280"/>
    <n v="110"/>
    <n v="2.2000000000000002"/>
    <x v="1"/>
    <n v="12.5"/>
    <n v="0.15"/>
    <n v="0.1"/>
    <n v="44520"/>
    <n v="40068"/>
    <n v="349.8"/>
    <n v="6010.2"/>
    <n v="6010"/>
    <n v="17490"/>
    <n v="10557.8"/>
    <n v="0.26349705500648901"/>
  </r>
  <r>
    <s v="ORD-1546"/>
    <d v="2026-05-23T18:00:00"/>
    <s v="P-002"/>
    <s v="BR-30"/>
    <x v="1"/>
    <n v="57"/>
    <x v="1"/>
    <n v="280"/>
    <n v="110"/>
    <n v="2.2000000000000002"/>
    <x v="1"/>
    <n v="12.5"/>
    <n v="0.15"/>
    <n v="0.1"/>
    <n v="15960"/>
    <n v="14364"/>
    <n v="125.4"/>
    <n v="2154.6"/>
    <n v="2155"/>
    <n v="6270"/>
    <n v="3784.3999999999996"/>
    <n v="0.26346421609579501"/>
  </r>
  <r>
    <s v="ORD-1550"/>
    <d v="2026-05-23T22:00:00"/>
    <s v="P-002"/>
    <s v="BR-30"/>
    <x v="1"/>
    <n v="197"/>
    <x v="1"/>
    <n v="280"/>
    <n v="110"/>
    <n v="2.2000000000000002"/>
    <x v="1"/>
    <n v="12.5"/>
    <n v="0.15"/>
    <n v="0.1"/>
    <n v="55160"/>
    <n v="49644"/>
    <n v="433.40000000000003"/>
    <n v="7446.5999999999995"/>
    <n v="7447"/>
    <n v="21670"/>
    <n v="13080.400000000001"/>
    <n v="0.26348400612360001"/>
  </r>
  <r>
    <s v="ORD-1552"/>
    <d v="2026-05-24T00:00:00"/>
    <s v="P-002"/>
    <s v="BR-30"/>
    <x v="1"/>
    <n v="15"/>
    <x v="1"/>
    <n v="280"/>
    <n v="110"/>
    <n v="2.2000000000000002"/>
    <x v="1"/>
    <n v="12.5"/>
    <n v="0.15"/>
    <n v="0.1"/>
    <n v="4200"/>
    <n v="3780"/>
    <n v="33"/>
    <n v="567"/>
    <n v="567"/>
    <n v="1650"/>
    <n v="996"/>
    <n v="0.263492063492064"/>
  </r>
  <r>
    <s v="ORD-1573"/>
    <d v="2026-05-24T21:00:00"/>
    <s v="P-002"/>
    <s v="BR-30"/>
    <x v="1"/>
    <n v="111"/>
    <x v="1"/>
    <n v="280"/>
    <n v="110"/>
    <n v="2.2000000000000002"/>
    <x v="1"/>
    <n v="12.5"/>
    <n v="0.15"/>
    <n v="0.1"/>
    <n v="31080"/>
    <n v="27972"/>
    <n v="244.20000000000002"/>
    <n v="4195.8"/>
    <n v="4196"/>
    <n v="12210"/>
    <n v="7370.2000000000007"/>
    <n v="0.26348491348491399"/>
  </r>
  <r>
    <s v="ORD-1579"/>
    <d v="2026-05-25T03:00:00"/>
    <s v="P-002"/>
    <s v="BR-30"/>
    <x v="1"/>
    <n v="36"/>
    <x v="1"/>
    <n v="280"/>
    <n v="110"/>
    <n v="2.2000000000000002"/>
    <x v="1"/>
    <n v="12.5"/>
    <n v="0.15"/>
    <n v="0.1"/>
    <n v="10080"/>
    <n v="9072"/>
    <n v="79.2"/>
    <n v="1360.8"/>
    <n v="1361"/>
    <n v="3960"/>
    <n v="2390.1999999999998"/>
    <n v="0.26347001763668398"/>
  </r>
  <r>
    <s v="ORD-1594"/>
    <d v="2026-05-25T18:00:00"/>
    <s v="P-002"/>
    <s v="BR-30"/>
    <x v="0"/>
    <n v="113"/>
    <x v="1"/>
    <n v="280"/>
    <n v="110"/>
    <n v="2.2000000000000002"/>
    <x v="1"/>
    <n v="12.5"/>
    <n v="0.15"/>
    <n v="0.02"/>
    <n v="31640"/>
    <n v="31007"/>
    <n v="248.60000000000002"/>
    <n v="4651.05"/>
    <n v="4651"/>
    <n v="12430"/>
    <n v="9274.9500000000007"/>
    <n v="0.29912439126648799"/>
  </r>
  <r>
    <s v="ORD-1595"/>
    <d v="2026-05-25T19:00:00"/>
    <s v="P-002"/>
    <s v="BR-30"/>
    <x v="2"/>
    <n v="30"/>
    <x v="1"/>
    <n v="280"/>
    <n v="110"/>
    <n v="2.2000000000000002"/>
    <x v="1"/>
    <n v="12.5"/>
    <n v="0.15"/>
    <n v="0.05"/>
    <n v="8400"/>
    <n v="7980"/>
    <n v="66"/>
    <n v="1197"/>
    <n v="1197"/>
    <n v="3300"/>
    <n v="2286"/>
    <n v="0.28646616541353398"/>
  </r>
  <r>
    <s v="ORD-1599"/>
    <d v="2026-05-25T23:00:00"/>
    <s v="P-002"/>
    <s v="BR-30"/>
    <x v="2"/>
    <n v="47"/>
    <x v="1"/>
    <n v="280"/>
    <n v="110"/>
    <n v="2.2000000000000002"/>
    <x v="1"/>
    <n v="12.5"/>
    <n v="0.15"/>
    <n v="0.05"/>
    <n v="13160"/>
    <n v="12502"/>
    <n v="103.4"/>
    <n v="1875.3"/>
    <n v="1875"/>
    <n v="5170"/>
    <n v="3581.7000000000007"/>
    <n v="0.28649016157414797"/>
  </r>
  <r>
    <s v="ORD-1610"/>
    <d v="2026-05-26T10:00:00"/>
    <s v="P-002"/>
    <s v="BR-30"/>
    <x v="2"/>
    <n v="135"/>
    <x v="1"/>
    <n v="280"/>
    <n v="110"/>
    <n v="2.2000000000000002"/>
    <x v="1"/>
    <n v="12.5"/>
    <n v="0.15"/>
    <n v="0.05"/>
    <n v="37800"/>
    <n v="35910"/>
    <n v="297"/>
    <n v="5386.5"/>
    <n v="5386"/>
    <n v="14850"/>
    <n v="10287.5"/>
    <n v="0.286480089111668"/>
  </r>
  <r>
    <s v="ORD-1615"/>
    <d v="2026-05-26T15:00:00"/>
    <s v="P-002"/>
    <s v="BR-30"/>
    <x v="2"/>
    <n v="112"/>
    <x v="1"/>
    <n v="280"/>
    <n v="110"/>
    <n v="2.2000000000000002"/>
    <x v="1"/>
    <n v="12.5"/>
    <n v="0.15"/>
    <n v="0.05"/>
    <n v="31360"/>
    <n v="29792"/>
    <n v="246.40000000000003"/>
    <n v="4468.8"/>
    <n v="4469"/>
    <n v="12320"/>
    <n v="8534.2000000000007"/>
    <n v="0.28645945220193297"/>
  </r>
  <r>
    <s v="ORD-1628"/>
    <d v="2026-05-27T04:00:00"/>
    <s v="P-002"/>
    <s v="BR-30"/>
    <x v="0"/>
    <n v="141"/>
    <x v="1"/>
    <n v="280"/>
    <n v="110"/>
    <n v="2.2000000000000002"/>
    <x v="1"/>
    <n v="12.5"/>
    <n v="0.15"/>
    <n v="0.02"/>
    <n v="39480"/>
    <n v="38690"/>
    <n v="310.20000000000005"/>
    <n v="5803.5"/>
    <n v="5804"/>
    <n v="15510"/>
    <n v="11572.5"/>
    <n v="0.299108296717498"/>
  </r>
  <r>
    <s v="ORD-1632"/>
    <d v="2026-05-27T08:00:00"/>
    <s v="P-002"/>
    <s v="BR-30"/>
    <x v="2"/>
    <n v="25"/>
    <x v="1"/>
    <n v="280"/>
    <n v="110"/>
    <n v="2.2000000000000002"/>
    <x v="1"/>
    <n v="12.5"/>
    <n v="0.15"/>
    <n v="0.05"/>
    <n v="7000"/>
    <n v="6650"/>
    <n v="55.000000000000007"/>
    <n v="997.5"/>
    <n v="998"/>
    <n v="2750"/>
    <n v="1904.5"/>
    <n v="0.28639097744360897"/>
  </r>
  <r>
    <s v="ORD-1638"/>
    <d v="2026-05-27T14:00:00"/>
    <s v="P-002"/>
    <s v="BR-30"/>
    <x v="1"/>
    <n v="114"/>
    <x v="1"/>
    <n v="280"/>
    <n v="110"/>
    <n v="2.2000000000000002"/>
    <x v="1"/>
    <n v="12.5"/>
    <n v="0.15"/>
    <n v="0.1"/>
    <n v="31920"/>
    <n v="28728"/>
    <n v="250.8"/>
    <n v="4309.2"/>
    <n v="4309"/>
    <n v="12540"/>
    <n v="7569.7999999999993"/>
    <n v="0.26349902534113101"/>
  </r>
  <r>
    <s v="ORD-1643"/>
    <d v="2026-05-27T19:00:00"/>
    <s v="P-002"/>
    <s v="BR-30"/>
    <x v="0"/>
    <n v="112"/>
    <x v="1"/>
    <n v="280"/>
    <n v="110"/>
    <n v="2.2000000000000002"/>
    <x v="1"/>
    <n v="12.5"/>
    <n v="0.15"/>
    <n v="0.02"/>
    <n v="31360"/>
    <n v="30733"/>
    <n v="246.40000000000003"/>
    <n v="4609.95"/>
    <n v="4610"/>
    <n v="12320"/>
    <n v="9193.0499999999993"/>
    <n v="0.29912634627273599"/>
  </r>
  <r>
    <s v="ORD-1656"/>
    <d v="2026-05-28T08:00:00"/>
    <s v="P-002"/>
    <s v="BR-30"/>
    <x v="1"/>
    <n v="104"/>
    <x v="1"/>
    <n v="280"/>
    <n v="110"/>
    <n v="2.2000000000000002"/>
    <x v="1"/>
    <n v="12.5"/>
    <n v="0.15"/>
    <n v="0.1"/>
    <n v="29120"/>
    <n v="26208"/>
    <n v="228.8"/>
    <n v="3931.2"/>
    <n v="3931"/>
    <n v="11440"/>
    <n v="6905.7999999999993"/>
    <n v="0.26349969474969498"/>
  </r>
  <r>
    <s v="ORD-1666"/>
    <d v="2026-05-28T18:00:00"/>
    <s v="P-002"/>
    <s v="BR-30"/>
    <x v="1"/>
    <n v="136"/>
    <x v="1"/>
    <n v="280"/>
    <n v="110"/>
    <n v="2.2000000000000002"/>
    <x v="1"/>
    <n v="12.5"/>
    <n v="0.15"/>
    <n v="0.1"/>
    <n v="38080"/>
    <n v="34272"/>
    <n v="299.20000000000005"/>
    <n v="5140.8"/>
    <n v="5141"/>
    <n v="14960"/>
    <n v="9030.2000000000007"/>
    <n v="0.26348622782446302"/>
  </r>
  <r>
    <s v="ORD-1670"/>
    <d v="2026-05-28T22:00:00"/>
    <s v="P-002"/>
    <s v="BR-30"/>
    <x v="2"/>
    <n v="178"/>
    <x v="1"/>
    <n v="280"/>
    <n v="110"/>
    <n v="2.2000000000000002"/>
    <x v="1"/>
    <n v="12.5"/>
    <n v="0.15"/>
    <n v="0.05"/>
    <n v="49840"/>
    <n v="47348"/>
    <n v="391.6"/>
    <n v="7102.2"/>
    <n v="7102"/>
    <n v="19580"/>
    <n v="13563.800000000003"/>
    <n v="0.28647038945678799"/>
  </r>
  <r>
    <s v="ORD-1674"/>
    <d v="2026-05-29T02:00:00"/>
    <s v="P-002"/>
    <s v="BR-30"/>
    <x v="2"/>
    <n v="180"/>
    <x v="1"/>
    <n v="280"/>
    <n v="110"/>
    <n v="2.2000000000000002"/>
    <x v="1"/>
    <n v="12.5"/>
    <n v="0.15"/>
    <n v="0.05"/>
    <n v="50400"/>
    <n v="47880"/>
    <n v="396.00000000000006"/>
    <n v="7182"/>
    <n v="7182"/>
    <n v="19800"/>
    <n v="13716"/>
    <n v="0.28646616541353398"/>
  </r>
  <r>
    <s v="ORD-1679"/>
    <d v="2026-05-29T07:00:00"/>
    <s v="P-002"/>
    <s v="BR-30"/>
    <x v="1"/>
    <n v="105"/>
    <x v="1"/>
    <n v="280"/>
    <n v="110"/>
    <n v="2.2000000000000002"/>
    <x v="1"/>
    <n v="12.5"/>
    <n v="0.15"/>
    <n v="0.1"/>
    <n v="29400"/>
    <n v="26460"/>
    <n v="231.00000000000003"/>
    <n v="3969"/>
    <n v="3969"/>
    <n v="11550"/>
    <n v="6972"/>
    <n v="0.263492063492064"/>
  </r>
  <r>
    <s v="ORD-1689"/>
    <d v="2026-05-29T17:00:00"/>
    <s v="P-002"/>
    <s v="BR-30"/>
    <x v="2"/>
    <n v="99"/>
    <x v="1"/>
    <n v="280"/>
    <n v="110"/>
    <n v="2.2000000000000002"/>
    <x v="1"/>
    <n v="12.5"/>
    <n v="0.15"/>
    <n v="0.05"/>
    <n v="27720"/>
    <n v="26334"/>
    <n v="217.8"/>
    <n v="3950.1"/>
    <n v="3950"/>
    <n v="10890"/>
    <n v="7543.9000000000015"/>
    <n v="0.28646996278575199"/>
  </r>
  <r>
    <s v="ORD-1692"/>
    <d v="2026-05-29T20:00:00"/>
    <s v="P-002"/>
    <s v="BR-30"/>
    <x v="2"/>
    <n v="162"/>
    <x v="1"/>
    <n v="280"/>
    <n v="110"/>
    <n v="2.2000000000000002"/>
    <x v="1"/>
    <n v="12.5"/>
    <n v="0.15"/>
    <n v="0.05"/>
    <n v="45360"/>
    <n v="43092"/>
    <n v="356.40000000000003"/>
    <n v="6463.8"/>
    <n v="6464"/>
    <n v="17820"/>
    <n v="12344.2"/>
    <n v="0.28646152418082199"/>
  </r>
  <r>
    <s v="ORD-1699"/>
    <d v="2026-05-30T03:00:00"/>
    <s v="P-002"/>
    <s v="BR-30"/>
    <x v="1"/>
    <n v="193"/>
    <x v="1"/>
    <n v="280"/>
    <n v="110"/>
    <n v="2.2000000000000002"/>
    <x v="1"/>
    <n v="12.5"/>
    <n v="0.15"/>
    <n v="0.1"/>
    <n v="54040"/>
    <n v="48636"/>
    <n v="424.6"/>
    <n v="7295.4"/>
    <n v="7295"/>
    <n v="21230"/>
    <n v="12815.599999999999"/>
    <n v="0.26350028785261898"/>
  </r>
  <r>
    <s v="ORD-1702"/>
    <d v="2026-05-30T06:00:00"/>
    <s v="P-002"/>
    <s v="BR-30"/>
    <x v="0"/>
    <n v="140"/>
    <x v="1"/>
    <n v="280"/>
    <n v="110"/>
    <n v="2.2000000000000002"/>
    <x v="1"/>
    <n v="12.5"/>
    <n v="0.15"/>
    <n v="0.02"/>
    <n v="39200"/>
    <n v="38416"/>
    <n v="308"/>
    <n v="5762.4"/>
    <n v="5762"/>
    <n v="15400"/>
    <n v="11491.599999999999"/>
    <n v="0.299135776759683"/>
  </r>
  <r>
    <s v="ORD-1705"/>
    <d v="2026-05-30T09:00:00"/>
    <s v="P-002"/>
    <s v="BR-30"/>
    <x v="2"/>
    <n v="86"/>
    <x v="1"/>
    <n v="280"/>
    <n v="110"/>
    <n v="2.2000000000000002"/>
    <x v="1"/>
    <n v="12.5"/>
    <n v="0.15"/>
    <n v="0.05"/>
    <n v="24080"/>
    <n v="22876"/>
    <n v="189.20000000000002"/>
    <n v="3431.4"/>
    <n v="3431"/>
    <n v="9460"/>
    <n v="6553.6"/>
    <n v="0.28648365098793499"/>
  </r>
  <r>
    <s v="ORD-1708"/>
    <d v="2026-05-30T12:00:00"/>
    <s v="P-002"/>
    <s v="BR-30"/>
    <x v="1"/>
    <n v="161"/>
    <x v="1"/>
    <n v="280"/>
    <n v="110"/>
    <n v="2.2000000000000002"/>
    <x v="1"/>
    <n v="12.5"/>
    <n v="0.15"/>
    <n v="0.1"/>
    <n v="45080"/>
    <n v="40572"/>
    <n v="354.20000000000005"/>
    <n v="6085.8"/>
    <n v="6086"/>
    <n v="17710"/>
    <n v="10690.2"/>
    <n v="0.26348713398402801"/>
  </r>
  <r>
    <s v="ORD-1713"/>
    <d v="2026-05-30T17:00:00"/>
    <s v="P-002"/>
    <s v="BR-30"/>
    <x v="2"/>
    <n v="93"/>
    <x v="1"/>
    <n v="280"/>
    <n v="110"/>
    <n v="2.2000000000000002"/>
    <x v="1"/>
    <n v="12.5"/>
    <n v="0.15"/>
    <n v="0.05"/>
    <n v="26040"/>
    <n v="24738"/>
    <n v="204.60000000000002"/>
    <n v="3710.7"/>
    <n v="3711"/>
    <n v="10230"/>
    <n v="7086.2999999999993"/>
    <n v="0.28645403832160998"/>
  </r>
  <r>
    <s v="ORD-1728"/>
    <d v="2026-05-31T08:00:00"/>
    <s v="P-002"/>
    <s v="BR-30"/>
    <x v="2"/>
    <n v="44"/>
    <x v="1"/>
    <n v="280"/>
    <n v="110"/>
    <n v="2.2000000000000002"/>
    <x v="1"/>
    <n v="12.5"/>
    <n v="0.15"/>
    <n v="0.05"/>
    <n v="12320"/>
    <n v="11704"/>
    <n v="96.800000000000011"/>
    <n v="1755.6"/>
    <n v="1756"/>
    <n v="4840"/>
    <n v="3352.3999999999996"/>
    <n v="0.28643198906356798"/>
  </r>
  <r>
    <s v="ORD-1738"/>
    <d v="2026-05-31T18:00:00"/>
    <s v="P-002"/>
    <s v="BR-30"/>
    <x v="2"/>
    <n v="192"/>
    <x v="1"/>
    <n v="280"/>
    <n v="110"/>
    <n v="2.2000000000000002"/>
    <x v="1"/>
    <n v="12.5"/>
    <n v="0.15"/>
    <n v="0.05"/>
    <n v="53760"/>
    <n v="51072"/>
    <n v="422.40000000000003"/>
    <n v="7660.7999999999993"/>
    <n v="7661"/>
    <n v="21120"/>
    <n v="14630.199999999997"/>
    <n v="0.28646224937343401"/>
  </r>
  <r>
    <s v="ORD-1742"/>
    <d v="2026-05-31T22:00:00"/>
    <s v="P-002"/>
    <s v="BR-30"/>
    <x v="1"/>
    <n v="158"/>
    <x v="1"/>
    <n v="280"/>
    <n v="110"/>
    <n v="2.2000000000000002"/>
    <x v="1"/>
    <n v="12.5"/>
    <n v="0.15"/>
    <n v="0.1"/>
    <n v="44240"/>
    <n v="39816"/>
    <n v="347.6"/>
    <n v="5972.4"/>
    <n v="5972"/>
    <n v="17380"/>
    <n v="10491.599999999999"/>
    <n v="0.263502109704641"/>
  </r>
  <r>
    <s v="ORD-1745"/>
    <d v="2026-06-01T01:00:00"/>
    <s v="P-002"/>
    <s v="BR-30"/>
    <x v="0"/>
    <n v="149"/>
    <x v="1"/>
    <n v="280"/>
    <n v="110"/>
    <n v="2.2000000000000002"/>
    <x v="1"/>
    <n v="12.5"/>
    <n v="0.15"/>
    <n v="0.02"/>
    <n v="41720"/>
    <n v="40886"/>
    <n v="327.8"/>
    <n v="6132.9"/>
    <n v="6133"/>
    <n v="16390"/>
    <n v="12230.099999999999"/>
    <n v="0.29912684048329502"/>
  </r>
  <r>
    <s v="ORD-1746"/>
    <d v="2026-06-01T02:00:00"/>
    <s v="P-002"/>
    <s v="BR-30"/>
    <x v="0"/>
    <n v="119"/>
    <x v="1"/>
    <n v="280"/>
    <n v="110"/>
    <n v="2.2000000000000002"/>
    <x v="1"/>
    <n v="12.5"/>
    <n v="0.15"/>
    <n v="0.02"/>
    <n v="33320"/>
    <n v="32654"/>
    <n v="261.8"/>
    <n v="4898.0999999999995"/>
    <n v="4898"/>
    <n v="13090"/>
    <n v="9767.9000000000015"/>
    <n v="0.29913333741654902"/>
  </r>
  <r>
    <s v="ORD-1767"/>
    <d v="2026-06-01T23:00:00"/>
    <s v="P-002"/>
    <s v="BR-30"/>
    <x v="0"/>
    <n v="46"/>
    <x v="1"/>
    <n v="280"/>
    <n v="110"/>
    <n v="2.2000000000000002"/>
    <x v="1"/>
    <n v="12.5"/>
    <n v="0.15"/>
    <n v="0.02"/>
    <n v="12880"/>
    <n v="12622"/>
    <n v="101.2"/>
    <n v="1893.3"/>
    <n v="1893"/>
    <n v="5060"/>
    <n v="3775.7000000000007"/>
    <n v="0.299136428458248"/>
  </r>
  <r>
    <s v="ORD-1768"/>
    <d v="2026-06-02T00:00:00"/>
    <s v="P-002"/>
    <s v="BR-30"/>
    <x v="0"/>
    <n v="52"/>
    <x v="1"/>
    <n v="280"/>
    <n v="110"/>
    <n v="2.2000000000000002"/>
    <x v="1"/>
    <n v="12.5"/>
    <n v="0.15"/>
    <n v="0.02"/>
    <n v="14560"/>
    <n v="14269"/>
    <n v="114.4"/>
    <n v="2140.35"/>
    <n v="2140"/>
    <n v="5720"/>
    <n v="4268.6499999999996"/>
    <n v="0.29915551194897999"/>
  </r>
  <r>
    <s v="ORD-1784"/>
    <d v="2026-06-02T16:00:00"/>
    <s v="P-002"/>
    <s v="BR-30"/>
    <x v="1"/>
    <n v="58"/>
    <x v="1"/>
    <n v="280"/>
    <n v="110"/>
    <n v="2.2000000000000002"/>
    <x v="1"/>
    <n v="12.5"/>
    <n v="0.15"/>
    <n v="0.1"/>
    <n v="16240"/>
    <n v="14616"/>
    <n v="127.60000000000001"/>
    <n v="2192.4"/>
    <n v="2192"/>
    <n v="6380"/>
    <n v="3851.6000000000004"/>
    <n v="0.26351943076081003"/>
  </r>
  <r>
    <s v="ORD-1807"/>
    <d v="2026-06-03T15:00:00"/>
    <s v="P-002"/>
    <s v="BR-30"/>
    <x v="0"/>
    <n v="22"/>
    <x v="1"/>
    <n v="280"/>
    <n v="110"/>
    <n v="2.2000000000000002"/>
    <x v="1"/>
    <n v="12.5"/>
    <n v="0.15"/>
    <n v="0.02"/>
    <n v="6160"/>
    <n v="6037"/>
    <n v="48.400000000000006"/>
    <n v="905.55"/>
    <n v="906"/>
    <n v="2420"/>
    <n v="1805.4499999999998"/>
    <n v="0.29906410468775901"/>
  </r>
  <r>
    <s v="ORD-1825"/>
    <d v="2026-06-04T09:00:00"/>
    <s v="P-002"/>
    <s v="BR-30"/>
    <x v="1"/>
    <n v="165"/>
    <x v="1"/>
    <n v="280"/>
    <n v="110"/>
    <n v="2.2000000000000002"/>
    <x v="1"/>
    <n v="12.5"/>
    <n v="0.15"/>
    <n v="0.1"/>
    <n v="46200"/>
    <n v="41580"/>
    <n v="363.00000000000006"/>
    <n v="6237"/>
    <n v="6237"/>
    <n v="18150"/>
    <n v="10956"/>
    <n v="0.263492063492064"/>
  </r>
  <r>
    <s v="ORD-1829"/>
    <d v="2026-06-04T13:00:00"/>
    <s v="P-002"/>
    <s v="BR-30"/>
    <x v="1"/>
    <n v="190"/>
    <x v="1"/>
    <n v="280"/>
    <n v="110"/>
    <n v="2.2000000000000002"/>
    <x v="1"/>
    <n v="12.5"/>
    <n v="0.15"/>
    <n v="0.1"/>
    <n v="53200"/>
    <n v="47880"/>
    <n v="418.00000000000006"/>
    <n v="7182"/>
    <n v="7182"/>
    <n v="20900"/>
    <n v="12616"/>
    <n v="0.263492063492064"/>
  </r>
  <r>
    <s v="ORD-1839"/>
    <d v="2026-06-04T23:00:00"/>
    <s v="P-002"/>
    <s v="BR-30"/>
    <x v="2"/>
    <n v="10"/>
    <x v="1"/>
    <n v="280"/>
    <n v="110"/>
    <n v="2.2000000000000002"/>
    <x v="1"/>
    <n v="12.5"/>
    <n v="0.15"/>
    <n v="0.05"/>
    <n v="2800"/>
    <n v="2660"/>
    <n v="22"/>
    <n v="399"/>
    <n v="399"/>
    <n v="1100"/>
    <n v="762"/>
    <n v="0.28646616541353398"/>
  </r>
  <r>
    <s v="ORD-1843"/>
    <d v="2026-06-05T03:00:00"/>
    <s v="P-002"/>
    <s v="BR-30"/>
    <x v="0"/>
    <n v="63"/>
    <x v="1"/>
    <n v="280"/>
    <n v="110"/>
    <n v="2.2000000000000002"/>
    <x v="1"/>
    <n v="12.5"/>
    <n v="0.15"/>
    <n v="0.02"/>
    <n v="17640"/>
    <n v="17287"/>
    <n v="138.60000000000002"/>
    <n v="2593.0499999999997"/>
    <n v="2593"/>
    <n v="6930"/>
    <n v="5170.9500000000007"/>
    <n v="0.299123618904379"/>
  </r>
  <r>
    <s v="ORD-1858"/>
    <d v="2026-06-05T18:00:00"/>
    <s v="P-002"/>
    <s v="BR-30"/>
    <x v="2"/>
    <n v="198"/>
    <x v="1"/>
    <n v="280"/>
    <n v="110"/>
    <n v="2.2000000000000002"/>
    <x v="1"/>
    <n v="12.5"/>
    <n v="0.15"/>
    <n v="0.05"/>
    <n v="55440"/>
    <n v="52668"/>
    <n v="435.6"/>
    <n v="7900.2"/>
    <n v="7900"/>
    <n v="21780"/>
    <n v="15087.800000000003"/>
    <n v="0.28646996278575199"/>
  </r>
  <r>
    <s v="ORD-1878"/>
    <d v="2026-06-06T14:00:00"/>
    <s v="P-002"/>
    <s v="BR-30"/>
    <x v="1"/>
    <n v="83"/>
    <x v="1"/>
    <n v="280"/>
    <n v="110"/>
    <n v="2.2000000000000002"/>
    <x v="1"/>
    <n v="12.5"/>
    <n v="0.15"/>
    <n v="0.1"/>
    <n v="23240"/>
    <n v="20916"/>
    <n v="182.60000000000002"/>
    <n v="3137.4"/>
    <n v="3137"/>
    <n v="9130"/>
    <n v="5511.6"/>
    <n v="0.26351118760757303"/>
  </r>
  <r>
    <s v="ORD-1880"/>
    <d v="2026-06-06T16:00:00"/>
    <s v="P-002"/>
    <s v="BR-30"/>
    <x v="1"/>
    <n v="30"/>
    <x v="1"/>
    <n v="280"/>
    <n v="110"/>
    <n v="2.2000000000000002"/>
    <x v="1"/>
    <n v="12.5"/>
    <n v="0.15"/>
    <n v="0.1"/>
    <n v="8400"/>
    <n v="7560"/>
    <n v="66"/>
    <n v="1134"/>
    <n v="1134"/>
    <n v="3300"/>
    <n v="1992"/>
    <n v="0.263492063492064"/>
  </r>
  <r>
    <s v="ORD-1891"/>
    <d v="2026-06-07T03:00:00"/>
    <s v="P-002"/>
    <s v="BR-30"/>
    <x v="1"/>
    <n v="105"/>
    <x v="1"/>
    <n v="280"/>
    <n v="110"/>
    <n v="2.2000000000000002"/>
    <x v="1"/>
    <n v="12.5"/>
    <n v="0.15"/>
    <n v="0.1"/>
    <n v="29400"/>
    <n v="26460"/>
    <n v="231.00000000000003"/>
    <n v="3969"/>
    <n v="3969"/>
    <n v="11550"/>
    <n v="6972"/>
    <n v="0.263492063492064"/>
  </r>
  <r>
    <s v="ORD-1894"/>
    <d v="2026-06-07T06:00:00"/>
    <s v="P-002"/>
    <s v="BR-30"/>
    <x v="1"/>
    <n v="21"/>
    <x v="1"/>
    <n v="280"/>
    <n v="110"/>
    <n v="2.2000000000000002"/>
    <x v="1"/>
    <n v="12.5"/>
    <n v="0.15"/>
    <n v="0.1"/>
    <n v="5880"/>
    <n v="5292"/>
    <n v="46.2"/>
    <n v="793.8"/>
    <n v="794"/>
    <n v="2310"/>
    <n v="1394.1999999999998"/>
    <n v="0.263454270597128"/>
  </r>
  <r>
    <s v="ORD-1898"/>
    <d v="2026-06-07T10:00:00"/>
    <s v="P-002"/>
    <s v="BR-30"/>
    <x v="0"/>
    <n v="127"/>
    <x v="1"/>
    <n v="280"/>
    <n v="110"/>
    <n v="2.2000000000000002"/>
    <x v="1"/>
    <n v="12.5"/>
    <n v="0.15"/>
    <n v="0.02"/>
    <n v="35560"/>
    <n v="34849"/>
    <n v="279.40000000000003"/>
    <n v="5227.3499999999995"/>
    <n v="5227"/>
    <n v="13970"/>
    <n v="10424.650000000001"/>
    <n v="0.29913770839909298"/>
  </r>
  <r>
    <s v="ORD-1902"/>
    <d v="2026-06-07T14:00:00"/>
    <s v="P-002"/>
    <s v="BR-30"/>
    <x v="0"/>
    <n v="12"/>
    <x v="1"/>
    <n v="280"/>
    <n v="110"/>
    <n v="2.2000000000000002"/>
    <x v="1"/>
    <n v="12.5"/>
    <n v="0.15"/>
    <n v="0.02"/>
    <n v="3360"/>
    <n v="3293"/>
    <n v="26.400000000000002"/>
    <n v="493.95"/>
    <n v="494"/>
    <n v="1320"/>
    <n v="985.05000000000018"/>
    <n v="0.29913452778621302"/>
  </r>
  <r>
    <s v="ORD-1906"/>
    <d v="2026-06-07T18:00:00"/>
    <s v="P-002"/>
    <s v="BR-30"/>
    <x v="0"/>
    <n v="178"/>
    <x v="1"/>
    <n v="280"/>
    <n v="110"/>
    <n v="2.2000000000000002"/>
    <x v="1"/>
    <n v="12.5"/>
    <n v="0.15"/>
    <n v="0.02"/>
    <n v="49840"/>
    <n v="48843"/>
    <n v="391.6"/>
    <n v="7326.45"/>
    <n v="7326"/>
    <n v="19580"/>
    <n v="14610.550000000003"/>
    <n v="0.29913293614233399"/>
  </r>
  <r>
    <s v="ORD-1926"/>
    <d v="2026-06-08T14:00:00"/>
    <s v="P-002"/>
    <s v="BR-30"/>
    <x v="0"/>
    <n v="151"/>
    <x v="1"/>
    <n v="280"/>
    <n v="110"/>
    <n v="2.2000000000000002"/>
    <x v="1"/>
    <n v="12.5"/>
    <n v="0.15"/>
    <n v="0.02"/>
    <n v="42280"/>
    <n v="41434"/>
    <n v="332.20000000000005"/>
    <n v="6215.0999999999995"/>
    <n v="6215"/>
    <n v="16610"/>
    <n v="12393.900000000001"/>
    <n v="0.299123907901723"/>
  </r>
  <r>
    <s v="ORD-1927"/>
    <d v="2026-06-08T15:00:00"/>
    <s v="P-002"/>
    <s v="BR-30"/>
    <x v="1"/>
    <n v="168"/>
    <x v="1"/>
    <n v="280"/>
    <n v="110"/>
    <n v="2.2000000000000002"/>
    <x v="1"/>
    <n v="12.5"/>
    <n v="0.15"/>
    <n v="0.1"/>
    <n v="47040"/>
    <n v="42336"/>
    <n v="369.6"/>
    <n v="6350.4"/>
    <n v="6350"/>
    <n v="18480"/>
    <n v="11155.599999999999"/>
    <n v="0.263501511715797"/>
  </r>
  <r>
    <s v="ORD-1967"/>
    <d v="2026-06-10T07:00:00"/>
    <s v="P-002"/>
    <s v="BR-30"/>
    <x v="0"/>
    <n v="50"/>
    <x v="1"/>
    <n v="280"/>
    <n v="110"/>
    <n v="2.2000000000000002"/>
    <x v="1"/>
    <n v="12.5"/>
    <n v="0.15"/>
    <n v="0.02"/>
    <n v="14000"/>
    <n v="13720"/>
    <n v="110.00000000000001"/>
    <n v="2058"/>
    <n v="2058"/>
    <n v="5500"/>
    <n v="4104"/>
    <n v="0.29912536443148702"/>
  </r>
  <r>
    <s v="ORD-1976"/>
    <d v="2026-06-10T16:00:00"/>
    <s v="P-002"/>
    <s v="BR-30"/>
    <x v="2"/>
    <n v="86"/>
    <x v="1"/>
    <n v="280"/>
    <n v="110"/>
    <n v="2.2000000000000002"/>
    <x v="1"/>
    <n v="12.5"/>
    <n v="0.15"/>
    <n v="0.05"/>
    <n v="24080"/>
    <n v="22876"/>
    <n v="189.20000000000002"/>
    <n v="3431.4"/>
    <n v="3431"/>
    <n v="9460"/>
    <n v="6553.6"/>
    <n v="0.28648365098793499"/>
  </r>
  <r>
    <s v="ORD-1987"/>
    <d v="2026-06-11T03:00:00"/>
    <s v="P-002"/>
    <s v="BR-30"/>
    <x v="0"/>
    <n v="20"/>
    <x v="1"/>
    <n v="280"/>
    <n v="110"/>
    <n v="2.2000000000000002"/>
    <x v="1"/>
    <n v="12.5"/>
    <n v="0.15"/>
    <n v="0.02"/>
    <n v="5600"/>
    <n v="5488"/>
    <n v="44"/>
    <n v="823.19999999999993"/>
    <n v="823"/>
    <n v="2200"/>
    <n v="1641.8000000000002"/>
    <n v="0.29916180758017502"/>
  </r>
  <r>
    <s v="ORD-1996"/>
    <d v="2026-06-11T12:00:00"/>
    <s v="P-002"/>
    <s v="BR-30"/>
    <x v="0"/>
    <n v="111"/>
    <x v="1"/>
    <n v="280"/>
    <n v="110"/>
    <n v="2.2000000000000002"/>
    <x v="1"/>
    <n v="12.5"/>
    <n v="0.15"/>
    <n v="0.02"/>
    <n v="31080"/>
    <n v="30458"/>
    <n v="244.20000000000002"/>
    <n v="4568.7"/>
    <n v="4569"/>
    <n v="12210"/>
    <n v="9110.2999999999993"/>
    <n v="0.29911025018057602"/>
  </r>
  <r>
    <s v="ORD-1024"/>
    <d v="2026-05-02T00:00:00"/>
    <s v="P-002"/>
    <s v="BR-20"/>
    <x v="0"/>
    <n v="68"/>
    <x v="1"/>
    <n v="280"/>
    <n v="110"/>
    <n v="2.2000000000000002"/>
    <x v="2"/>
    <n v="8"/>
    <n v="0.12"/>
    <n v="0.02"/>
    <n v="19040"/>
    <n v="18659"/>
    <n v="149.60000000000002"/>
    <n v="2239.08"/>
    <n v="2239"/>
    <n v="7480"/>
    <n v="6700.92"/>
    <n v="0.35912535505654097"/>
  </r>
  <r>
    <s v="ORD-1026"/>
    <d v="2026-05-02T02:00:00"/>
    <s v="P-002"/>
    <s v="BR-20"/>
    <x v="1"/>
    <n v="15"/>
    <x v="1"/>
    <n v="280"/>
    <n v="110"/>
    <n v="2.2000000000000002"/>
    <x v="2"/>
    <n v="8"/>
    <n v="0.12"/>
    <n v="0.1"/>
    <n v="4200"/>
    <n v="3780"/>
    <n v="33"/>
    <n v="453.59999999999997"/>
    <n v="454"/>
    <n v="1650"/>
    <n v="1222.4000000000001"/>
    <n v="0.323386243386243"/>
  </r>
  <r>
    <s v="ORD-1037"/>
    <d v="2026-05-02T13:00:00"/>
    <s v="P-002"/>
    <s v="BR-20"/>
    <x v="0"/>
    <n v="149"/>
    <x v="1"/>
    <n v="280"/>
    <n v="110"/>
    <n v="2.2000000000000002"/>
    <x v="2"/>
    <n v="8"/>
    <n v="0.12"/>
    <n v="0.02"/>
    <n v="41720"/>
    <n v="40886"/>
    <n v="327.8"/>
    <n v="4906.32"/>
    <n v="4906"/>
    <n v="16390"/>
    <n v="14683.68"/>
    <n v="0.359137112948197"/>
  </r>
  <r>
    <s v="ORD-1067"/>
    <d v="2026-05-03T19:00:00"/>
    <s v="P-002"/>
    <s v="BR-20"/>
    <x v="1"/>
    <n v="55"/>
    <x v="1"/>
    <n v="280"/>
    <n v="110"/>
    <n v="2.2000000000000002"/>
    <x v="2"/>
    <n v="8"/>
    <n v="0.12"/>
    <n v="0.1"/>
    <n v="15400"/>
    <n v="13860"/>
    <n v="121.00000000000001"/>
    <n v="1663.2"/>
    <n v="1663"/>
    <n v="6050"/>
    <n v="4483.7999999999993"/>
    <n v="0.32350649350649302"/>
  </r>
  <r>
    <s v="ORD-1081"/>
    <d v="2026-05-04T09:00:00"/>
    <s v="P-002"/>
    <s v="BR-20"/>
    <x v="0"/>
    <n v="141"/>
    <x v="1"/>
    <n v="280"/>
    <n v="110"/>
    <n v="2.2000000000000002"/>
    <x v="2"/>
    <n v="8"/>
    <n v="0.12"/>
    <n v="0.02"/>
    <n v="39480"/>
    <n v="38690"/>
    <n v="310.20000000000005"/>
    <n v="4642.8"/>
    <n v="4643"/>
    <n v="15510"/>
    <n v="13894.2"/>
    <n v="0.35911605065908497"/>
  </r>
  <r>
    <s v="ORD-1091"/>
    <d v="2026-05-04T19:00:00"/>
    <s v="P-002"/>
    <s v="BR-20"/>
    <x v="0"/>
    <n v="176"/>
    <x v="1"/>
    <n v="280"/>
    <n v="110"/>
    <n v="2.2000000000000002"/>
    <x v="2"/>
    <n v="8"/>
    <n v="0.12"/>
    <n v="0.02"/>
    <n v="49280"/>
    <n v="48294"/>
    <n v="387.20000000000005"/>
    <n v="5795.28"/>
    <n v="5795"/>
    <n v="19360"/>
    <n v="17343.72"/>
    <n v="0.359127841967946"/>
  </r>
  <r>
    <s v="ORD-1094"/>
    <d v="2026-05-04T22:00:00"/>
    <s v="P-002"/>
    <s v="BR-20"/>
    <x v="2"/>
    <n v="53"/>
    <x v="1"/>
    <n v="280"/>
    <n v="110"/>
    <n v="2.2000000000000002"/>
    <x v="2"/>
    <n v="8"/>
    <n v="0.12"/>
    <n v="0.05"/>
    <n v="14840"/>
    <n v="14098"/>
    <n v="116.60000000000001"/>
    <n v="1691.76"/>
    <n v="1692"/>
    <n v="5830"/>
    <n v="4884.24"/>
    <n v="0.34644914172223001"/>
  </r>
  <r>
    <s v="ORD-1106"/>
    <d v="2026-05-05T10:00:00"/>
    <s v="P-002"/>
    <s v="BR-20"/>
    <x v="2"/>
    <n v="29"/>
    <x v="1"/>
    <n v="280"/>
    <n v="110"/>
    <n v="2.2000000000000002"/>
    <x v="2"/>
    <n v="8"/>
    <n v="0.12"/>
    <n v="0.05"/>
    <n v="8120"/>
    <n v="7714"/>
    <n v="63.800000000000004"/>
    <n v="925.68"/>
    <n v="926"/>
    <n v="3190"/>
    <n v="2672.3199999999997"/>
    <n v="0.346424682395644"/>
  </r>
  <r>
    <s v="ORD-1114"/>
    <d v="2026-05-05T18:00:00"/>
    <s v="P-002"/>
    <s v="BR-20"/>
    <x v="1"/>
    <n v="26"/>
    <x v="1"/>
    <n v="280"/>
    <n v="110"/>
    <n v="2.2000000000000002"/>
    <x v="2"/>
    <n v="8"/>
    <n v="0.12"/>
    <n v="0.1"/>
    <n v="7280"/>
    <n v="6552"/>
    <n v="57.2"/>
    <n v="786.24"/>
    <n v="786"/>
    <n v="2860"/>
    <n v="2119.7600000000002"/>
    <n v="0.32352869352869401"/>
  </r>
  <r>
    <s v="ORD-1120"/>
    <d v="2026-05-06T00:00:00"/>
    <s v="P-002"/>
    <s v="BR-20"/>
    <x v="0"/>
    <n v="111"/>
    <x v="1"/>
    <n v="280"/>
    <n v="110"/>
    <n v="2.2000000000000002"/>
    <x v="2"/>
    <n v="8"/>
    <n v="0.12"/>
    <n v="0.02"/>
    <n v="31080"/>
    <n v="30458"/>
    <n v="244.20000000000002"/>
    <n v="3654.96"/>
    <n v="3655"/>
    <n v="12210"/>
    <n v="10938.04"/>
    <n v="0.359118786525708"/>
  </r>
  <r>
    <s v="ORD-1123"/>
    <d v="2026-05-06T03:00:00"/>
    <s v="P-002"/>
    <s v="BR-20"/>
    <x v="2"/>
    <n v="59"/>
    <x v="1"/>
    <n v="280"/>
    <n v="110"/>
    <n v="2.2000000000000002"/>
    <x v="2"/>
    <n v="8"/>
    <n v="0.12"/>
    <n v="0.05"/>
    <n v="16520"/>
    <n v="15694"/>
    <n v="129.80000000000001"/>
    <n v="1883.28"/>
    <n v="1883"/>
    <n v="6490"/>
    <n v="5437.7199999999993"/>
    <n v="0.34648400662673601"/>
  </r>
  <r>
    <s v="ORD-1131"/>
    <d v="2026-05-06T11:00:00"/>
    <s v="P-002"/>
    <s v="BR-20"/>
    <x v="0"/>
    <n v="156"/>
    <x v="1"/>
    <n v="280"/>
    <n v="110"/>
    <n v="2.2000000000000002"/>
    <x v="2"/>
    <n v="8"/>
    <n v="0.12"/>
    <n v="0.02"/>
    <n v="43680"/>
    <n v="42806"/>
    <n v="343.20000000000005"/>
    <n v="5136.72"/>
    <n v="5137"/>
    <n v="17160"/>
    <n v="15372.279999999999"/>
    <n v="0.35911507732560899"/>
  </r>
  <r>
    <s v="ORD-1140"/>
    <d v="2026-05-06T20:00:00"/>
    <s v="P-002"/>
    <s v="BR-20"/>
    <x v="2"/>
    <n v="195"/>
    <x v="1"/>
    <n v="280"/>
    <n v="110"/>
    <n v="2.2000000000000002"/>
    <x v="2"/>
    <n v="8"/>
    <n v="0.12"/>
    <n v="0.05"/>
    <n v="54600"/>
    <n v="51870"/>
    <n v="429.00000000000006"/>
    <n v="6224.4"/>
    <n v="6224"/>
    <n v="21450"/>
    <n v="17971.599999999999"/>
    <n v="0.346473877000193"/>
  </r>
  <r>
    <s v="ORD-1150"/>
    <d v="2026-05-07T06:00:00"/>
    <s v="P-002"/>
    <s v="BR-20"/>
    <x v="0"/>
    <n v="70"/>
    <x v="1"/>
    <n v="280"/>
    <n v="110"/>
    <n v="2.2000000000000002"/>
    <x v="2"/>
    <n v="8"/>
    <n v="0.12"/>
    <n v="0.02"/>
    <n v="19600"/>
    <n v="19208"/>
    <n v="154"/>
    <n v="2304.96"/>
    <n v="2305"/>
    <n v="7700"/>
    <n v="6898.0400000000009"/>
    <n v="0.35912328196584797"/>
  </r>
  <r>
    <s v="ORD-1163"/>
    <d v="2026-05-07T19:00:00"/>
    <s v="P-002"/>
    <s v="BR-20"/>
    <x v="0"/>
    <n v="10"/>
    <x v="1"/>
    <n v="280"/>
    <n v="110"/>
    <n v="2.2000000000000002"/>
    <x v="2"/>
    <n v="8"/>
    <n v="0.12"/>
    <n v="0.02"/>
    <n v="2800"/>
    <n v="2744"/>
    <n v="22"/>
    <n v="329.28"/>
    <n v="329"/>
    <n v="1100"/>
    <n v="985.72"/>
    <n v="0.35922740524781299"/>
  </r>
  <r>
    <s v="ORD-1168"/>
    <d v="2026-05-08T00:00:00"/>
    <s v="P-002"/>
    <s v="BR-20"/>
    <x v="0"/>
    <n v="148"/>
    <x v="1"/>
    <n v="280"/>
    <n v="110"/>
    <n v="2.2000000000000002"/>
    <x v="2"/>
    <n v="8"/>
    <n v="0.12"/>
    <n v="0.02"/>
    <n v="41440"/>
    <n v="40611"/>
    <n v="325.60000000000002"/>
    <n v="4873.32"/>
    <n v="4873"/>
    <n v="16280"/>
    <n v="14584.68"/>
    <n v="0.35913126985299598"/>
  </r>
  <r>
    <s v="ORD-1169"/>
    <d v="2026-05-08T01:00:00"/>
    <s v="P-002"/>
    <s v="BR-20"/>
    <x v="0"/>
    <n v="42"/>
    <x v="1"/>
    <n v="280"/>
    <n v="110"/>
    <n v="2.2000000000000002"/>
    <x v="2"/>
    <n v="8"/>
    <n v="0.12"/>
    <n v="0.02"/>
    <n v="11760"/>
    <n v="11525"/>
    <n v="92.4"/>
    <n v="1383"/>
    <n v="1383"/>
    <n v="4620"/>
    <n v="4139"/>
    <n v="0.35913232104121501"/>
  </r>
  <r>
    <s v="ORD-1170"/>
    <d v="2026-05-08T02:00:00"/>
    <s v="P-002"/>
    <s v="BR-20"/>
    <x v="0"/>
    <n v="195"/>
    <x v="1"/>
    <n v="280"/>
    <n v="110"/>
    <n v="2.2000000000000002"/>
    <x v="2"/>
    <n v="8"/>
    <n v="0.12"/>
    <n v="0.02"/>
    <n v="54600"/>
    <n v="53508"/>
    <n v="429.00000000000006"/>
    <n v="6420.96"/>
    <n v="6421"/>
    <n v="21450"/>
    <n v="19216.04"/>
    <n v="0.35912461687971903"/>
  </r>
  <r>
    <s v="ORD-1186"/>
    <d v="2026-05-08T18:00:00"/>
    <s v="P-002"/>
    <s v="BR-20"/>
    <x v="0"/>
    <n v="58"/>
    <x v="1"/>
    <n v="280"/>
    <n v="110"/>
    <n v="2.2000000000000002"/>
    <x v="2"/>
    <n v="8"/>
    <n v="0.12"/>
    <n v="0.02"/>
    <n v="16240"/>
    <n v="15915"/>
    <n v="127.60000000000001"/>
    <n v="1909.8"/>
    <n v="1910"/>
    <n v="6380"/>
    <n v="5715.2000000000007"/>
    <n v="0.35910775997486699"/>
  </r>
  <r>
    <s v="ORD-1208"/>
    <d v="2026-05-09T16:00:00"/>
    <s v="P-002"/>
    <s v="BR-20"/>
    <x v="0"/>
    <n v="122"/>
    <x v="1"/>
    <n v="280"/>
    <n v="110"/>
    <n v="2.2000000000000002"/>
    <x v="2"/>
    <n v="8"/>
    <n v="0.12"/>
    <n v="0.02"/>
    <n v="34160"/>
    <n v="33477"/>
    <n v="268.40000000000003"/>
    <n v="4017.24"/>
    <n v="4017"/>
    <n v="13420"/>
    <n v="12022.760000000002"/>
    <n v="0.35913492845834499"/>
  </r>
  <r>
    <s v="ORD-1215"/>
    <d v="2026-05-09T23:00:00"/>
    <s v="P-002"/>
    <s v="BR-20"/>
    <x v="2"/>
    <n v="96"/>
    <x v="1"/>
    <n v="280"/>
    <n v="110"/>
    <n v="2.2000000000000002"/>
    <x v="2"/>
    <n v="8"/>
    <n v="0.12"/>
    <n v="0.05"/>
    <n v="26880"/>
    <n v="25536"/>
    <n v="211.20000000000002"/>
    <n v="3064.3199999999997"/>
    <n v="3064"/>
    <n v="10560"/>
    <n v="8847.68"/>
    <n v="0.346478696741855"/>
  </r>
  <r>
    <s v="ORD-1217"/>
    <d v="2026-05-10T01:00:00"/>
    <s v="P-002"/>
    <s v="BR-20"/>
    <x v="2"/>
    <n v="85"/>
    <x v="1"/>
    <n v="280"/>
    <n v="110"/>
    <n v="2.2000000000000002"/>
    <x v="2"/>
    <n v="8"/>
    <n v="0.12"/>
    <n v="0.05"/>
    <n v="23800"/>
    <n v="22610"/>
    <n v="187.00000000000003"/>
    <n v="2713.2"/>
    <n v="2713"/>
    <n v="9350"/>
    <n v="7833.7999999999993"/>
    <n v="0.34647501105705403"/>
  </r>
  <r>
    <s v="ORD-1230"/>
    <d v="2026-05-10T14:00:00"/>
    <s v="P-002"/>
    <s v="BR-20"/>
    <x v="1"/>
    <n v="184"/>
    <x v="1"/>
    <n v="280"/>
    <n v="110"/>
    <n v="2.2000000000000002"/>
    <x v="2"/>
    <n v="8"/>
    <n v="0.12"/>
    <n v="0.1"/>
    <n v="51520"/>
    <n v="46368"/>
    <n v="404.8"/>
    <n v="5564.16"/>
    <n v="5564"/>
    <n v="20240"/>
    <n v="14999.84"/>
    <n v="0.32349551414768801"/>
  </r>
  <r>
    <s v="ORD-1233"/>
    <d v="2026-05-10T17:00:00"/>
    <s v="P-002"/>
    <s v="BR-20"/>
    <x v="1"/>
    <n v="13"/>
    <x v="1"/>
    <n v="280"/>
    <n v="110"/>
    <n v="2.2000000000000002"/>
    <x v="2"/>
    <n v="8"/>
    <n v="0.12"/>
    <n v="0.1"/>
    <n v="3640"/>
    <n v="3276"/>
    <n v="28.6"/>
    <n v="393.12"/>
    <n v="393"/>
    <n v="1430"/>
    <n v="1059.8800000000001"/>
    <n v="0.32352869352869401"/>
  </r>
  <r>
    <s v="ORD-1240"/>
    <d v="2026-05-11T00:00:00"/>
    <s v="P-002"/>
    <s v="BR-20"/>
    <x v="0"/>
    <n v="75"/>
    <x v="1"/>
    <n v="280"/>
    <n v="110"/>
    <n v="2.2000000000000002"/>
    <x v="2"/>
    <n v="8"/>
    <n v="0.12"/>
    <n v="0.02"/>
    <n v="21000"/>
    <n v="20580"/>
    <n v="165"/>
    <n v="2469.6"/>
    <n v="2470"/>
    <n v="8250"/>
    <n v="7390.4"/>
    <n v="0.35910592808552"/>
  </r>
  <r>
    <s v="ORD-1241"/>
    <d v="2026-05-11T01:00:00"/>
    <s v="P-002"/>
    <s v="BR-20"/>
    <x v="0"/>
    <n v="96"/>
    <x v="1"/>
    <n v="280"/>
    <n v="110"/>
    <n v="2.2000000000000002"/>
    <x v="2"/>
    <n v="8"/>
    <n v="0.12"/>
    <n v="0.02"/>
    <n v="26880"/>
    <n v="26342"/>
    <n v="211.20000000000002"/>
    <n v="3161.04"/>
    <n v="3161"/>
    <n v="10560"/>
    <n v="9459.9599999999991"/>
    <n v="0.359120795687495"/>
  </r>
  <r>
    <s v="ORD-1258"/>
    <d v="2026-05-11T18:00:00"/>
    <s v="P-002"/>
    <s v="BR-20"/>
    <x v="0"/>
    <n v="157"/>
    <x v="1"/>
    <n v="280"/>
    <n v="110"/>
    <n v="2.2000000000000002"/>
    <x v="2"/>
    <n v="8"/>
    <n v="0.12"/>
    <n v="0.02"/>
    <n v="43960"/>
    <n v="43081"/>
    <n v="345.40000000000003"/>
    <n v="5169.72"/>
    <n v="5170"/>
    <n v="17270"/>
    <n v="15471.279999999999"/>
    <n v="0.35912072607413897"/>
  </r>
  <r>
    <s v="ORD-1272"/>
    <d v="2026-05-12T08:00:00"/>
    <s v="P-002"/>
    <s v="BR-20"/>
    <x v="0"/>
    <n v="41"/>
    <x v="1"/>
    <n v="280"/>
    <n v="110"/>
    <n v="2.2000000000000002"/>
    <x v="2"/>
    <n v="8"/>
    <n v="0.12"/>
    <n v="0.02"/>
    <n v="11480"/>
    <n v="11250"/>
    <n v="90.2"/>
    <n v="1350"/>
    <n v="1350"/>
    <n v="4510"/>
    <n v="4040"/>
    <n v="0.35911111111111099"/>
  </r>
  <r>
    <s v="ORD-1276"/>
    <d v="2026-05-12T12:00:00"/>
    <s v="P-002"/>
    <s v="BR-20"/>
    <x v="0"/>
    <n v="100"/>
    <x v="1"/>
    <n v="280"/>
    <n v="110"/>
    <n v="2.2000000000000002"/>
    <x v="2"/>
    <n v="8"/>
    <n v="0.12"/>
    <n v="0.02"/>
    <n v="28000"/>
    <n v="27440"/>
    <n v="220.00000000000003"/>
    <n v="3292.7999999999997"/>
    <n v="3293"/>
    <n v="11000"/>
    <n v="9854.2000000000007"/>
    <n v="0.35911807580174898"/>
  </r>
  <r>
    <s v="ORD-1282"/>
    <d v="2026-05-12T18:00:00"/>
    <s v="P-002"/>
    <s v="BR-20"/>
    <x v="1"/>
    <n v="187"/>
    <x v="1"/>
    <n v="280"/>
    <n v="110"/>
    <n v="2.2000000000000002"/>
    <x v="2"/>
    <n v="8"/>
    <n v="0.12"/>
    <n v="0.1"/>
    <n v="52360"/>
    <n v="47124"/>
    <n v="411.40000000000003"/>
    <n v="5654.88"/>
    <n v="5655"/>
    <n v="20570"/>
    <n v="15244.119999999999"/>
    <n v="0.32348951701892897"/>
  </r>
  <r>
    <s v="ORD-1348"/>
    <d v="2026-05-15T12:00:00"/>
    <s v="P-002"/>
    <s v="BR-20"/>
    <x v="1"/>
    <n v="58"/>
    <x v="1"/>
    <n v="280"/>
    <n v="110"/>
    <n v="2.2000000000000002"/>
    <x v="2"/>
    <n v="8"/>
    <n v="0.12"/>
    <n v="0.1"/>
    <n v="16240"/>
    <n v="14616"/>
    <n v="127.60000000000001"/>
    <n v="1753.9199999999998"/>
    <n v="1754"/>
    <n v="6380"/>
    <n v="4728.08"/>
    <n v="0.32348659003831398"/>
  </r>
  <r>
    <s v="ORD-1352"/>
    <d v="2026-05-15T16:00:00"/>
    <s v="P-002"/>
    <s v="BR-20"/>
    <x v="1"/>
    <n v="44"/>
    <x v="1"/>
    <n v="280"/>
    <n v="110"/>
    <n v="2.2000000000000002"/>
    <x v="2"/>
    <n v="8"/>
    <n v="0.12"/>
    <n v="0.1"/>
    <n v="12320"/>
    <n v="11088"/>
    <n v="96.800000000000011"/>
    <n v="1330.56"/>
    <n v="1331"/>
    <n v="4840"/>
    <n v="3586.4400000000005"/>
    <n v="0.32345238095238099"/>
  </r>
  <r>
    <s v="ORD-1367"/>
    <d v="2026-05-16T07:00:00"/>
    <s v="P-002"/>
    <s v="BR-20"/>
    <x v="1"/>
    <n v="44"/>
    <x v="1"/>
    <n v="280"/>
    <n v="110"/>
    <n v="2.2000000000000002"/>
    <x v="2"/>
    <n v="8"/>
    <n v="0.12"/>
    <n v="0.1"/>
    <n v="12320"/>
    <n v="11088"/>
    <n v="96.800000000000011"/>
    <n v="1330.56"/>
    <n v="1331"/>
    <n v="4840"/>
    <n v="3586.4400000000005"/>
    <n v="0.32345238095238099"/>
  </r>
  <r>
    <s v="ORD-1374"/>
    <d v="2026-05-16T14:00:00"/>
    <s v="P-002"/>
    <s v="BR-20"/>
    <x v="0"/>
    <n v="113"/>
    <x v="1"/>
    <n v="280"/>
    <n v="110"/>
    <n v="2.2000000000000002"/>
    <x v="2"/>
    <n v="8"/>
    <n v="0.12"/>
    <n v="0.02"/>
    <n v="31640"/>
    <n v="31007"/>
    <n v="248.60000000000002"/>
    <n v="3720.8399999999997"/>
    <n v="3721"/>
    <n v="12430"/>
    <n v="11135.16"/>
    <n v="0.359117618602251"/>
  </r>
  <r>
    <s v="ORD-1377"/>
    <d v="2026-05-16T17:00:00"/>
    <s v="P-002"/>
    <s v="BR-20"/>
    <x v="1"/>
    <n v="140"/>
    <x v="1"/>
    <n v="280"/>
    <n v="110"/>
    <n v="2.2000000000000002"/>
    <x v="2"/>
    <n v="8"/>
    <n v="0.12"/>
    <n v="0.1"/>
    <n v="39200"/>
    <n v="35280"/>
    <n v="308"/>
    <n v="4233.5999999999995"/>
    <n v="4234"/>
    <n v="15400"/>
    <n v="11412.400000000001"/>
    <n v="0.32348072562358299"/>
  </r>
  <r>
    <s v="ORD-1379"/>
    <d v="2026-05-16T19:00:00"/>
    <s v="P-002"/>
    <s v="BR-20"/>
    <x v="0"/>
    <n v="78"/>
    <x v="1"/>
    <n v="280"/>
    <n v="110"/>
    <n v="2.2000000000000002"/>
    <x v="2"/>
    <n v="8"/>
    <n v="0.12"/>
    <n v="0.02"/>
    <n v="21840"/>
    <n v="21403"/>
    <n v="171.60000000000002"/>
    <n v="2568.36"/>
    <n v="2568"/>
    <n v="8580"/>
    <n v="7686.6399999999994"/>
    <n v="0.359138438536654"/>
  </r>
  <r>
    <s v="ORD-1386"/>
    <d v="2026-05-17T02:00:00"/>
    <s v="P-002"/>
    <s v="BR-20"/>
    <x v="0"/>
    <n v="153"/>
    <x v="1"/>
    <n v="280"/>
    <n v="110"/>
    <n v="2.2000000000000002"/>
    <x v="2"/>
    <n v="8"/>
    <n v="0.12"/>
    <n v="0.02"/>
    <n v="42840"/>
    <n v="41983"/>
    <n v="336.6"/>
    <n v="5037.96"/>
    <n v="5038"/>
    <n v="16830"/>
    <n v="15077.04"/>
    <n v="0.359122501965081"/>
  </r>
  <r>
    <s v="ORD-1388"/>
    <d v="2026-05-17T04:00:00"/>
    <s v="P-002"/>
    <s v="BR-20"/>
    <x v="2"/>
    <n v="169"/>
    <x v="1"/>
    <n v="280"/>
    <n v="110"/>
    <n v="2.2000000000000002"/>
    <x v="2"/>
    <n v="8"/>
    <n v="0.12"/>
    <n v="0.05"/>
    <n v="47320"/>
    <n v="44954"/>
    <n v="371.8"/>
    <n v="5394.48"/>
    <n v="5394"/>
    <n v="18590"/>
    <n v="15575.52"/>
    <n v="0.34647684299506198"/>
  </r>
  <r>
    <s v="ORD-1390"/>
    <d v="2026-05-17T06:00:00"/>
    <s v="P-002"/>
    <s v="BR-20"/>
    <x v="1"/>
    <n v="182"/>
    <x v="1"/>
    <n v="280"/>
    <n v="110"/>
    <n v="2.2000000000000002"/>
    <x v="2"/>
    <n v="8"/>
    <n v="0.12"/>
    <n v="0.1"/>
    <n v="50960"/>
    <n v="45864"/>
    <n v="400.40000000000003"/>
    <n v="5503.6799999999994"/>
    <n v="5504"/>
    <n v="20020"/>
    <n v="14836.32"/>
    <n v="0.323485086342229"/>
  </r>
  <r>
    <s v="ORD-1402"/>
    <d v="2026-05-17T18:00:00"/>
    <s v="P-002"/>
    <s v="BR-20"/>
    <x v="2"/>
    <n v="93"/>
    <x v="1"/>
    <n v="280"/>
    <n v="110"/>
    <n v="2.2000000000000002"/>
    <x v="2"/>
    <n v="8"/>
    <n v="0.12"/>
    <n v="0.05"/>
    <n v="26040"/>
    <n v="24738"/>
    <n v="204.60000000000002"/>
    <n v="2968.56"/>
    <n v="2969"/>
    <n v="10230"/>
    <n v="8570.44"/>
    <n v="0.346448379012046"/>
  </r>
  <r>
    <s v="ORD-1415"/>
    <d v="2026-05-18T07:00:00"/>
    <s v="P-002"/>
    <s v="BR-20"/>
    <x v="0"/>
    <n v="74"/>
    <x v="1"/>
    <n v="280"/>
    <n v="110"/>
    <n v="2.2000000000000002"/>
    <x v="2"/>
    <n v="8"/>
    <n v="0.12"/>
    <n v="0.02"/>
    <n v="20720"/>
    <n v="20306"/>
    <n v="162.80000000000001"/>
    <n v="2436.7199999999998"/>
    <n v="2437"/>
    <n v="8140"/>
    <n v="7292.2800000000007"/>
    <n v="0.359119472077219"/>
  </r>
  <r>
    <s v="ORD-1419"/>
    <d v="2026-05-18T11:00:00"/>
    <s v="P-002"/>
    <s v="BR-20"/>
    <x v="1"/>
    <n v="50"/>
    <x v="1"/>
    <n v="280"/>
    <n v="110"/>
    <n v="2.2000000000000002"/>
    <x v="2"/>
    <n v="8"/>
    <n v="0.12"/>
    <n v="0.1"/>
    <n v="14000"/>
    <n v="12600"/>
    <n v="110.00000000000001"/>
    <n v="1512"/>
    <n v="1512"/>
    <n v="5500"/>
    <n v="4076"/>
    <n v="0.323492063492064"/>
  </r>
  <r>
    <s v="ORD-1424"/>
    <d v="2026-05-18T16:00:00"/>
    <s v="P-002"/>
    <s v="BR-20"/>
    <x v="2"/>
    <n v="44"/>
    <x v="1"/>
    <n v="280"/>
    <n v="110"/>
    <n v="2.2000000000000002"/>
    <x v="2"/>
    <n v="8"/>
    <n v="0.12"/>
    <n v="0.05"/>
    <n v="12320"/>
    <n v="11704"/>
    <n v="96.800000000000011"/>
    <n v="1404.48"/>
    <n v="1404"/>
    <n v="4840"/>
    <n v="4055.5200000000004"/>
    <n v="0.34650717703349299"/>
  </r>
  <r>
    <s v="ORD-1427"/>
    <d v="2026-05-18T19:00:00"/>
    <s v="P-002"/>
    <s v="BR-20"/>
    <x v="2"/>
    <n v="133"/>
    <x v="1"/>
    <n v="280"/>
    <n v="110"/>
    <n v="2.2000000000000002"/>
    <x v="2"/>
    <n v="8"/>
    <n v="0.12"/>
    <n v="0.05"/>
    <n v="37240"/>
    <n v="35378"/>
    <n v="292.60000000000002"/>
    <n v="4245.3599999999997"/>
    <n v="4245"/>
    <n v="14630"/>
    <n v="12257.64"/>
    <n v="0.346476341229012"/>
  </r>
  <r>
    <s v="ORD-1432"/>
    <d v="2026-05-19T00:00:00"/>
    <s v="P-002"/>
    <s v="BR-20"/>
    <x v="1"/>
    <n v="141"/>
    <x v="1"/>
    <n v="280"/>
    <n v="110"/>
    <n v="2.2000000000000002"/>
    <x v="2"/>
    <n v="8"/>
    <n v="0.12"/>
    <n v="0.1"/>
    <n v="39480"/>
    <n v="35532"/>
    <n v="310.20000000000005"/>
    <n v="4263.84"/>
    <n v="4264"/>
    <n v="15510"/>
    <n v="11494.16"/>
    <n v="0.32348756050883698"/>
  </r>
  <r>
    <s v="ORD-1435"/>
    <d v="2026-05-19T03:00:00"/>
    <s v="P-002"/>
    <s v="BR-20"/>
    <x v="0"/>
    <n v="145"/>
    <x v="1"/>
    <n v="280"/>
    <n v="110"/>
    <n v="2.2000000000000002"/>
    <x v="2"/>
    <n v="8"/>
    <n v="0.12"/>
    <n v="0.02"/>
    <n v="40600"/>
    <n v="39788"/>
    <n v="319"/>
    <n v="4774.5599999999995"/>
    <n v="4775"/>
    <n v="15950"/>
    <n v="14288.440000000002"/>
    <n v="0.35911430582085102"/>
  </r>
  <r>
    <s v="ORD-1443"/>
    <d v="2026-05-19T11:00:00"/>
    <s v="P-002"/>
    <s v="BR-20"/>
    <x v="0"/>
    <n v="69"/>
    <x v="1"/>
    <n v="280"/>
    <n v="110"/>
    <n v="2.2000000000000002"/>
    <x v="2"/>
    <n v="8"/>
    <n v="0.12"/>
    <n v="0.02"/>
    <n v="19320"/>
    <n v="18934"/>
    <n v="151.80000000000001"/>
    <n v="2272.08"/>
    <n v="2272"/>
    <n v="7590"/>
    <n v="6799.92"/>
    <n v="0.35913805851906599"/>
  </r>
  <r>
    <s v="ORD-1446"/>
    <d v="2026-05-19T14:00:00"/>
    <s v="P-002"/>
    <s v="BR-20"/>
    <x v="2"/>
    <n v="92"/>
    <x v="1"/>
    <n v="280"/>
    <n v="110"/>
    <n v="2.2000000000000002"/>
    <x v="2"/>
    <n v="8"/>
    <n v="0.12"/>
    <n v="0.05"/>
    <n v="25760"/>
    <n v="24472"/>
    <n v="202.4"/>
    <n v="2936.64"/>
    <n v="2937"/>
    <n v="10120"/>
    <n v="8478.36"/>
    <n v="0.34645145472376598"/>
  </r>
  <r>
    <s v="ORD-1452"/>
    <d v="2026-05-19T20:00:00"/>
    <s v="P-002"/>
    <s v="BR-20"/>
    <x v="1"/>
    <n v="110"/>
    <x v="1"/>
    <n v="280"/>
    <n v="110"/>
    <n v="2.2000000000000002"/>
    <x v="2"/>
    <n v="8"/>
    <n v="0.12"/>
    <n v="0.1"/>
    <n v="30800"/>
    <n v="27720"/>
    <n v="242.00000000000003"/>
    <n v="3326.4"/>
    <n v="3326"/>
    <n v="12100"/>
    <n v="8967.5999999999985"/>
    <n v="0.32350649350649302"/>
  </r>
  <r>
    <s v="ORD-1455"/>
    <d v="2026-05-19T23:00:00"/>
    <s v="P-002"/>
    <s v="BR-20"/>
    <x v="2"/>
    <n v="120"/>
    <x v="1"/>
    <n v="280"/>
    <n v="110"/>
    <n v="2.2000000000000002"/>
    <x v="2"/>
    <n v="8"/>
    <n v="0.12"/>
    <n v="0.05"/>
    <n v="33600"/>
    <n v="31920"/>
    <n v="264"/>
    <n v="3830.3999999999996"/>
    <n v="3830"/>
    <n v="13200"/>
    <n v="11059.599999999999"/>
    <n v="0.346478696741855"/>
  </r>
  <r>
    <s v="ORD-1463"/>
    <d v="2026-05-20T07:00:00"/>
    <s v="P-002"/>
    <s v="BR-20"/>
    <x v="1"/>
    <n v="109"/>
    <x v="1"/>
    <n v="280"/>
    <n v="110"/>
    <n v="2.2000000000000002"/>
    <x v="2"/>
    <n v="8"/>
    <n v="0.12"/>
    <n v="0.1"/>
    <n v="30520"/>
    <n v="27468"/>
    <n v="239.8"/>
    <n v="3296.16"/>
    <n v="3296"/>
    <n v="11990"/>
    <n v="8885.84"/>
    <n v="0.32349788845201699"/>
  </r>
  <r>
    <s v="ORD-1468"/>
    <d v="2026-05-20T12:00:00"/>
    <s v="P-002"/>
    <s v="BR-20"/>
    <x v="0"/>
    <n v="170"/>
    <x v="1"/>
    <n v="280"/>
    <n v="110"/>
    <n v="2.2000000000000002"/>
    <x v="2"/>
    <n v="8"/>
    <n v="0.12"/>
    <n v="0.02"/>
    <n v="47600"/>
    <n v="46648"/>
    <n v="374.00000000000006"/>
    <n v="5597.76"/>
    <n v="5598"/>
    <n v="18700"/>
    <n v="16752.239999999998"/>
    <n v="0.35912021951637801"/>
  </r>
  <r>
    <s v="ORD-1469"/>
    <d v="2026-05-20T13:00:00"/>
    <s v="P-002"/>
    <s v="BR-20"/>
    <x v="2"/>
    <n v="162"/>
    <x v="1"/>
    <n v="280"/>
    <n v="110"/>
    <n v="2.2000000000000002"/>
    <x v="2"/>
    <n v="8"/>
    <n v="0.12"/>
    <n v="0.05"/>
    <n v="45360"/>
    <n v="43092"/>
    <n v="356.40000000000003"/>
    <n v="5171.04"/>
    <n v="5171"/>
    <n v="17820"/>
    <n v="14929.96"/>
    <n v="0.346467093660076"/>
  </r>
  <r>
    <s v="ORD-1485"/>
    <d v="2026-05-21T05:00:00"/>
    <s v="P-002"/>
    <s v="BR-20"/>
    <x v="2"/>
    <n v="199"/>
    <x v="1"/>
    <n v="280"/>
    <n v="110"/>
    <n v="2.2000000000000002"/>
    <x v="2"/>
    <n v="8"/>
    <n v="0.12"/>
    <n v="0.05"/>
    <n v="55720"/>
    <n v="52934"/>
    <n v="437.8"/>
    <n v="6352.08"/>
    <n v="6352"/>
    <n v="21890"/>
    <n v="18339.919999999998"/>
    <n v="0.34646767672951201"/>
  </r>
  <r>
    <s v="ORD-1486"/>
    <d v="2026-05-21T06:00:00"/>
    <s v="P-002"/>
    <s v="BR-20"/>
    <x v="2"/>
    <n v="12"/>
    <x v="1"/>
    <n v="280"/>
    <n v="110"/>
    <n v="2.2000000000000002"/>
    <x v="2"/>
    <n v="8"/>
    <n v="0.12"/>
    <n v="0.05"/>
    <n v="3360"/>
    <n v="3192"/>
    <n v="26.400000000000002"/>
    <n v="383.03999999999996"/>
    <n v="383"/>
    <n v="1320"/>
    <n v="1105.96"/>
    <n v="0.346478696741855"/>
  </r>
  <r>
    <s v="ORD-1492"/>
    <d v="2026-05-21T12:00:00"/>
    <s v="P-002"/>
    <s v="BR-20"/>
    <x v="0"/>
    <n v="52"/>
    <x v="1"/>
    <n v="280"/>
    <n v="110"/>
    <n v="2.2000000000000002"/>
    <x v="2"/>
    <n v="8"/>
    <n v="0.12"/>
    <n v="0.02"/>
    <n v="14560"/>
    <n v="14269"/>
    <n v="114.4"/>
    <n v="1712.28"/>
    <n v="1712"/>
    <n v="5720"/>
    <n v="5124.7200000000012"/>
    <n v="0.35915060620926498"/>
  </r>
  <r>
    <s v="ORD-1518"/>
    <d v="2026-05-22T14:00:00"/>
    <s v="P-002"/>
    <s v="BR-20"/>
    <x v="0"/>
    <n v="61"/>
    <x v="1"/>
    <n v="280"/>
    <n v="110"/>
    <n v="2.2000000000000002"/>
    <x v="2"/>
    <n v="8"/>
    <n v="0.12"/>
    <n v="0.02"/>
    <n v="17080"/>
    <n v="16738"/>
    <n v="134.20000000000002"/>
    <n v="2008.56"/>
    <n v="2009"/>
    <n v="6710"/>
    <n v="6010.4400000000005"/>
    <n v="0.35908949695304099"/>
  </r>
  <r>
    <s v="ORD-1528"/>
    <d v="2026-05-23T00:00:00"/>
    <s v="P-002"/>
    <s v="BR-20"/>
    <x v="0"/>
    <n v="99"/>
    <x v="1"/>
    <n v="280"/>
    <n v="110"/>
    <n v="2.2000000000000002"/>
    <x v="2"/>
    <n v="8"/>
    <n v="0.12"/>
    <n v="0.02"/>
    <n v="27720"/>
    <n v="27166"/>
    <n v="217.8"/>
    <n v="3259.92"/>
    <n v="3260"/>
    <n v="10890"/>
    <n v="9756.0800000000017"/>
    <n v="0.35912832216741503"/>
  </r>
  <r>
    <s v="ORD-1534"/>
    <d v="2026-05-23T06:00:00"/>
    <s v="P-002"/>
    <s v="BR-20"/>
    <x v="1"/>
    <n v="77"/>
    <x v="1"/>
    <n v="280"/>
    <n v="110"/>
    <n v="2.2000000000000002"/>
    <x v="2"/>
    <n v="8"/>
    <n v="0.12"/>
    <n v="0.1"/>
    <n v="21560"/>
    <n v="19404"/>
    <n v="169.4"/>
    <n v="2328.48"/>
    <n v="2328"/>
    <n v="8470"/>
    <n v="6277.52"/>
    <n v="0.32351680065965799"/>
  </r>
  <r>
    <s v="ORD-1536"/>
    <d v="2026-05-23T08:00:00"/>
    <s v="P-002"/>
    <s v="BR-20"/>
    <x v="1"/>
    <n v="36"/>
    <x v="1"/>
    <n v="280"/>
    <n v="110"/>
    <n v="2.2000000000000002"/>
    <x v="2"/>
    <n v="8"/>
    <n v="0.12"/>
    <n v="0.1"/>
    <n v="10080"/>
    <n v="9072"/>
    <n v="79.2"/>
    <n v="1088.6399999999999"/>
    <n v="1089"/>
    <n v="3960"/>
    <n v="2934.3600000000006"/>
    <n v="0.32345238095238099"/>
  </r>
  <r>
    <s v="ORD-1541"/>
    <d v="2026-05-23T13:00:00"/>
    <s v="P-002"/>
    <s v="BR-20"/>
    <x v="1"/>
    <n v="147"/>
    <x v="1"/>
    <n v="280"/>
    <n v="110"/>
    <n v="2.2000000000000002"/>
    <x v="2"/>
    <n v="8"/>
    <n v="0.12"/>
    <n v="0.1"/>
    <n v="41160"/>
    <n v="37044"/>
    <n v="323.40000000000003"/>
    <n v="4445.28"/>
    <n v="4445"/>
    <n v="16170"/>
    <n v="11983.720000000001"/>
    <n v="0.32349962207105099"/>
  </r>
  <r>
    <s v="ORD-1543"/>
    <d v="2026-05-23T15:00:00"/>
    <s v="P-002"/>
    <s v="BR-20"/>
    <x v="0"/>
    <n v="199"/>
    <x v="1"/>
    <n v="280"/>
    <n v="110"/>
    <n v="2.2000000000000002"/>
    <x v="2"/>
    <n v="8"/>
    <n v="0.12"/>
    <n v="0.02"/>
    <n v="55720"/>
    <n v="54606"/>
    <n v="437.8"/>
    <n v="6552.7199999999993"/>
    <n v="6553"/>
    <n v="21890"/>
    <n v="19610.28"/>
    <n v="0.35912317327766202"/>
  </r>
  <r>
    <s v="ORD-1548"/>
    <d v="2026-05-23T20:00:00"/>
    <s v="P-002"/>
    <s v="BR-20"/>
    <x v="1"/>
    <n v="117"/>
    <x v="1"/>
    <n v="280"/>
    <n v="110"/>
    <n v="2.2000000000000002"/>
    <x v="2"/>
    <n v="8"/>
    <n v="0.12"/>
    <n v="0.1"/>
    <n v="32760"/>
    <n v="29484"/>
    <n v="257.40000000000003"/>
    <n v="3538.08"/>
    <n v="3538"/>
    <n v="12870"/>
    <n v="9537.9199999999983"/>
    <n v="0.32349477682811001"/>
  </r>
  <r>
    <s v="ORD-1554"/>
    <d v="2026-05-24T02:00:00"/>
    <s v="P-002"/>
    <s v="BR-20"/>
    <x v="0"/>
    <n v="181"/>
    <x v="1"/>
    <n v="280"/>
    <n v="110"/>
    <n v="2.2000000000000002"/>
    <x v="2"/>
    <n v="8"/>
    <n v="0.12"/>
    <n v="0.02"/>
    <n v="50680"/>
    <n v="49666"/>
    <n v="398.20000000000005"/>
    <n v="5959.92"/>
    <n v="5960"/>
    <n v="19910"/>
    <n v="17836.080000000002"/>
    <n v="0.35912052510772002"/>
  </r>
  <r>
    <s v="ORD-1557"/>
    <d v="2026-05-24T05:00:00"/>
    <s v="P-002"/>
    <s v="BR-20"/>
    <x v="0"/>
    <n v="122"/>
    <x v="1"/>
    <n v="280"/>
    <n v="110"/>
    <n v="2.2000000000000002"/>
    <x v="2"/>
    <n v="8"/>
    <n v="0.12"/>
    <n v="0.02"/>
    <n v="34160"/>
    <n v="33477"/>
    <n v="268.40000000000003"/>
    <n v="4017.24"/>
    <n v="4017"/>
    <n v="13420"/>
    <n v="12022.760000000002"/>
    <n v="0.35913492845834499"/>
  </r>
  <r>
    <s v="ORD-1592"/>
    <d v="2026-05-25T16:00:00"/>
    <s v="P-002"/>
    <s v="BR-20"/>
    <x v="2"/>
    <n v="33"/>
    <x v="1"/>
    <n v="280"/>
    <n v="110"/>
    <n v="2.2000000000000002"/>
    <x v="2"/>
    <n v="8"/>
    <n v="0.12"/>
    <n v="0.05"/>
    <n v="9240"/>
    <n v="8778"/>
    <n v="72.600000000000009"/>
    <n v="1053.3599999999999"/>
    <n v="1053"/>
    <n v="3630"/>
    <n v="3041.6400000000003"/>
    <n v="0.34650717703349299"/>
  </r>
  <r>
    <s v="ORD-1593"/>
    <d v="2026-05-25T17:00:00"/>
    <s v="P-002"/>
    <s v="BR-20"/>
    <x v="1"/>
    <n v="31"/>
    <x v="1"/>
    <n v="280"/>
    <n v="110"/>
    <n v="2.2000000000000002"/>
    <x v="2"/>
    <n v="8"/>
    <n v="0.12"/>
    <n v="0.1"/>
    <n v="8680"/>
    <n v="7812"/>
    <n v="68.2"/>
    <n v="937.43999999999994"/>
    <n v="937"/>
    <n v="3410"/>
    <n v="2527.5600000000004"/>
    <n v="0.32354838709677403"/>
  </r>
  <r>
    <s v="ORD-1597"/>
    <d v="2026-05-25T21:00:00"/>
    <s v="P-002"/>
    <s v="BR-20"/>
    <x v="0"/>
    <n v="177"/>
    <x v="1"/>
    <n v="280"/>
    <n v="110"/>
    <n v="2.2000000000000002"/>
    <x v="2"/>
    <n v="8"/>
    <n v="0.12"/>
    <n v="0.02"/>
    <n v="49560"/>
    <n v="48569"/>
    <n v="389.40000000000003"/>
    <n v="5828.28"/>
    <n v="5828"/>
    <n v="19470"/>
    <n v="17442.72"/>
    <n v="0.35913278016841998"/>
  </r>
  <r>
    <s v="ORD-1600"/>
    <d v="2026-05-26T00:00:00"/>
    <s v="P-002"/>
    <s v="BR-20"/>
    <x v="1"/>
    <n v="142"/>
    <x v="1"/>
    <n v="280"/>
    <n v="110"/>
    <n v="2.2000000000000002"/>
    <x v="2"/>
    <n v="8"/>
    <n v="0.12"/>
    <n v="0.1"/>
    <n v="39760"/>
    <n v="35784"/>
    <n v="312.40000000000003"/>
    <n v="4294.08"/>
    <n v="4294"/>
    <n v="15620"/>
    <n v="11575.919999999998"/>
    <n v="0.32349429912810201"/>
  </r>
  <r>
    <s v="ORD-1602"/>
    <d v="2026-05-26T02:00:00"/>
    <s v="P-002"/>
    <s v="BR-20"/>
    <x v="0"/>
    <n v="177"/>
    <x v="1"/>
    <n v="280"/>
    <n v="110"/>
    <n v="2.2000000000000002"/>
    <x v="2"/>
    <n v="8"/>
    <n v="0.12"/>
    <n v="0.02"/>
    <n v="49560"/>
    <n v="48569"/>
    <n v="389.40000000000003"/>
    <n v="5828.28"/>
    <n v="5828"/>
    <n v="19470"/>
    <n v="17442.72"/>
    <n v="0.35913278016841998"/>
  </r>
  <r>
    <s v="ORD-1622"/>
    <d v="2026-05-26T22:00:00"/>
    <s v="P-002"/>
    <s v="BR-20"/>
    <x v="0"/>
    <n v="27"/>
    <x v="1"/>
    <n v="280"/>
    <n v="110"/>
    <n v="2.2000000000000002"/>
    <x v="2"/>
    <n v="8"/>
    <n v="0.12"/>
    <n v="0.02"/>
    <n v="7560"/>
    <n v="7409"/>
    <n v="59.400000000000006"/>
    <n v="889.07999999999993"/>
    <n v="889"/>
    <n v="2970"/>
    <n v="2660.92"/>
    <n v="0.35914698339856899"/>
  </r>
  <r>
    <s v="ORD-1630"/>
    <d v="2026-05-27T06:00:00"/>
    <s v="P-002"/>
    <s v="BR-20"/>
    <x v="0"/>
    <n v="53"/>
    <x v="1"/>
    <n v="280"/>
    <n v="110"/>
    <n v="2.2000000000000002"/>
    <x v="2"/>
    <n v="8"/>
    <n v="0.12"/>
    <n v="0.02"/>
    <n v="14840"/>
    <n v="14543"/>
    <n v="116.60000000000001"/>
    <n v="1745.1599999999999"/>
    <n v="1745"/>
    <n v="5830"/>
    <n v="5222.84"/>
    <n v="0.35913085333150002"/>
  </r>
  <r>
    <s v="ORD-1642"/>
    <d v="2026-05-27T18:00:00"/>
    <s v="P-002"/>
    <s v="BR-20"/>
    <x v="1"/>
    <n v="133"/>
    <x v="1"/>
    <n v="280"/>
    <n v="110"/>
    <n v="2.2000000000000002"/>
    <x v="2"/>
    <n v="8"/>
    <n v="0.12"/>
    <n v="0.1"/>
    <n v="37240"/>
    <n v="33516"/>
    <n v="292.60000000000002"/>
    <n v="4021.92"/>
    <n v="4022"/>
    <n v="14630"/>
    <n v="10842.080000000002"/>
    <n v="0.32348967657238298"/>
  </r>
  <r>
    <s v="ORD-1646"/>
    <d v="2026-05-27T22:00:00"/>
    <s v="P-002"/>
    <s v="BR-20"/>
    <x v="0"/>
    <n v="39"/>
    <x v="1"/>
    <n v="280"/>
    <n v="110"/>
    <n v="2.2000000000000002"/>
    <x v="2"/>
    <n v="8"/>
    <n v="0.12"/>
    <n v="0.02"/>
    <n v="10920"/>
    <n v="10702"/>
    <n v="85.800000000000011"/>
    <n v="1284.24"/>
    <n v="1284"/>
    <n v="4290"/>
    <n v="3843.76"/>
    <n v="0.35916277331339902"/>
  </r>
  <r>
    <s v="ORD-1647"/>
    <d v="2026-05-27T23:00:00"/>
    <s v="P-002"/>
    <s v="BR-20"/>
    <x v="1"/>
    <n v="117"/>
    <x v="1"/>
    <n v="280"/>
    <n v="110"/>
    <n v="2.2000000000000002"/>
    <x v="2"/>
    <n v="8"/>
    <n v="0.12"/>
    <n v="0.1"/>
    <n v="32760"/>
    <n v="29484"/>
    <n v="257.40000000000003"/>
    <n v="3538.08"/>
    <n v="3538"/>
    <n v="12870"/>
    <n v="9537.9199999999983"/>
    <n v="0.32349477682811001"/>
  </r>
  <r>
    <s v="ORD-1659"/>
    <d v="2026-05-28T11:00:00"/>
    <s v="P-002"/>
    <s v="BR-20"/>
    <x v="1"/>
    <n v="154"/>
    <x v="1"/>
    <n v="280"/>
    <n v="110"/>
    <n v="2.2000000000000002"/>
    <x v="2"/>
    <n v="8"/>
    <n v="0.12"/>
    <n v="0.1"/>
    <n v="43120"/>
    <n v="38808"/>
    <n v="338.8"/>
    <n v="4656.96"/>
    <n v="4657"/>
    <n v="16940"/>
    <n v="12554.04"/>
    <n v="0.32349103277674701"/>
  </r>
  <r>
    <s v="ORD-1680"/>
    <d v="2026-05-29T08:00:00"/>
    <s v="P-002"/>
    <s v="BR-20"/>
    <x v="2"/>
    <n v="114"/>
    <x v="1"/>
    <n v="280"/>
    <n v="110"/>
    <n v="2.2000000000000002"/>
    <x v="2"/>
    <n v="8"/>
    <n v="0.12"/>
    <n v="0.05"/>
    <n v="31920"/>
    <n v="30324"/>
    <n v="250.8"/>
    <n v="3638.8799999999997"/>
    <n v="3639"/>
    <n v="12540"/>
    <n v="10506.120000000003"/>
    <n v="0.34646220815195899"/>
  </r>
  <r>
    <s v="ORD-1715"/>
    <d v="2026-05-30T19:00:00"/>
    <s v="P-002"/>
    <s v="BR-20"/>
    <x v="1"/>
    <n v="175"/>
    <x v="1"/>
    <n v="280"/>
    <n v="110"/>
    <n v="2.2000000000000002"/>
    <x v="2"/>
    <n v="8"/>
    <n v="0.12"/>
    <n v="0.1"/>
    <n v="49000"/>
    <n v="44100"/>
    <n v="385.00000000000006"/>
    <n v="5292"/>
    <n v="5292"/>
    <n v="19250"/>
    <n v="14266"/>
    <n v="0.323492063492064"/>
  </r>
  <r>
    <s v="ORD-1720"/>
    <d v="2026-05-31T00:00:00"/>
    <s v="P-002"/>
    <s v="BR-20"/>
    <x v="2"/>
    <n v="142"/>
    <x v="1"/>
    <n v="280"/>
    <n v="110"/>
    <n v="2.2000000000000002"/>
    <x v="2"/>
    <n v="8"/>
    <n v="0.12"/>
    <n v="0.05"/>
    <n v="39760"/>
    <n v="37772"/>
    <n v="312.40000000000003"/>
    <n v="4532.6399999999994"/>
    <n v="4533"/>
    <n v="15620"/>
    <n v="13086.36"/>
    <n v="0.34645663454410702"/>
  </r>
  <r>
    <s v="ORD-1724"/>
    <d v="2026-05-31T04:00:00"/>
    <s v="P-002"/>
    <s v="BR-20"/>
    <x v="2"/>
    <n v="112"/>
    <x v="1"/>
    <n v="280"/>
    <n v="110"/>
    <n v="2.2000000000000002"/>
    <x v="2"/>
    <n v="8"/>
    <n v="0.12"/>
    <n v="0.05"/>
    <n v="31360"/>
    <n v="29792"/>
    <n v="246.40000000000003"/>
    <n v="3575.04"/>
    <n v="3575"/>
    <n v="12320"/>
    <n v="10321.959999999999"/>
    <n v="0.34646750805585402"/>
  </r>
  <r>
    <s v="ORD-1725"/>
    <d v="2026-05-31T05:00:00"/>
    <s v="P-002"/>
    <s v="BR-20"/>
    <x v="0"/>
    <n v="63"/>
    <x v="1"/>
    <n v="280"/>
    <n v="110"/>
    <n v="2.2000000000000002"/>
    <x v="2"/>
    <n v="8"/>
    <n v="0.12"/>
    <n v="0.02"/>
    <n v="17640"/>
    <n v="17287"/>
    <n v="138.60000000000002"/>
    <n v="2074.44"/>
    <n v="2074"/>
    <n v="6930"/>
    <n v="6208.5599999999995"/>
    <n v="0.35914617920981101"/>
  </r>
  <r>
    <s v="ORD-1763"/>
    <d v="2026-06-01T19:00:00"/>
    <s v="P-002"/>
    <s v="BR-20"/>
    <x v="2"/>
    <n v="178"/>
    <x v="1"/>
    <n v="280"/>
    <n v="110"/>
    <n v="2.2000000000000002"/>
    <x v="2"/>
    <n v="8"/>
    <n v="0.12"/>
    <n v="0.05"/>
    <n v="49840"/>
    <n v="47348"/>
    <n v="391.6"/>
    <n v="5681.76"/>
    <n v="5682"/>
    <n v="19580"/>
    <n v="16404.239999999998"/>
    <n v="0.34646109656162899"/>
  </r>
  <r>
    <s v="ORD-1771"/>
    <d v="2026-06-02T03:00:00"/>
    <s v="P-002"/>
    <s v="BR-20"/>
    <x v="2"/>
    <n v="59"/>
    <x v="1"/>
    <n v="280"/>
    <n v="110"/>
    <n v="2.2000000000000002"/>
    <x v="2"/>
    <n v="8"/>
    <n v="0.12"/>
    <n v="0.05"/>
    <n v="16520"/>
    <n v="15694"/>
    <n v="129.80000000000001"/>
    <n v="1883.28"/>
    <n v="1883"/>
    <n v="6490"/>
    <n v="5437.7199999999993"/>
    <n v="0.34648400662673601"/>
  </r>
  <r>
    <s v="ORD-1772"/>
    <d v="2026-06-02T04:00:00"/>
    <s v="P-002"/>
    <s v="BR-20"/>
    <x v="0"/>
    <n v="173"/>
    <x v="1"/>
    <n v="280"/>
    <n v="110"/>
    <n v="2.2000000000000002"/>
    <x v="2"/>
    <n v="8"/>
    <n v="0.12"/>
    <n v="0.02"/>
    <n v="48440"/>
    <n v="47471"/>
    <n v="380.6"/>
    <n v="5696.5199999999995"/>
    <n v="5697"/>
    <n v="19030"/>
    <n v="17047.48"/>
    <n v="0.359113564070696"/>
  </r>
  <r>
    <s v="ORD-1790"/>
    <d v="2026-06-02T22:00:00"/>
    <s v="P-002"/>
    <s v="BR-20"/>
    <x v="0"/>
    <n v="11"/>
    <x v="1"/>
    <n v="280"/>
    <n v="110"/>
    <n v="2.2000000000000002"/>
    <x v="2"/>
    <n v="8"/>
    <n v="0.12"/>
    <n v="0.02"/>
    <n v="3080"/>
    <n v="3018"/>
    <n v="24.200000000000003"/>
    <n v="362.15999999999997"/>
    <n v="362"/>
    <n v="1210"/>
    <n v="1083.8400000000001"/>
    <n v="0.359125248508946"/>
  </r>
  <r>
    <s v="ORD-1803"/>
    <d v="2026-06-03T11:00:00"/>
    <s v="P-002"/>
    <s v="BR-20"/>
    <x v="2"/>
    <n v="11"/>
    <x v="1"/>
    <n v="280"/>
    <n v="110"/>
    <n v="2.2000000000000002"/>
    <x v="2"/>
    <n v="8"/>
    <n v="0.12"/>
    <n v="0.05"/>
    <n v="3080"/>
    <n v="2926"/>
    <n v="24.200000000000003"/>
    <n v="351.12"/>
    <n v="351"/>
    <n v="1210"/>
    <n v="1013.8800000000001"/>
    <n v="0.34650717703349299"/>
  </r>
  <r>
    <s v="ORD-1814"/>
    <d v="2026-06-03T22:00:00"/>
    <s v="P-002"/>
    <s v="BR-20"/>
    <x v="0"/>
    <n v="47"/>
    <x v="1"/>
    <n v="280"/>
    <n v="110"/>
    <n v="2.2000000000000002"/>
    <x v="2"/>
    <n v="8"/>
    <n v="0.12"/>
    <n v="0.02"/>
    <n v="13160"/>
    <n v="12897"/>
    <n v="103.4"/>
    <n v="1547.6399999999999"/>
    <n v="1548"/>
    <n v="5170"/>
    <n v="4631.3600000000006"/>
    <n v="0.35910366751957801"/>
  </r>
  <r>
    <s v="ORD-1817"/>
    <d v="2026-06-04T01:00:00"/>
    <s v="P-002"/>
    <s v="BR-20"/>
    <x v="2"/>
    <n v="44"/>
    <x v="1"/>
    <n v="280"/>
    <n v="110"/>
    <n v="2.2000000000000002"/>
    <x v="2"/>
    <n v="8"/>
    <n v="0.12"/>
    <n v="0.05"/>
    <n v="12320"/>
    <n v="11704"/>
    <n v="96.800000000000011"/>
    <n v="1404.48"/>
    <n v="1404"/>
    <n v="4840"/>
    <n v="4055.5200000000004"/>
    <n v="0.34650717703349299"/>
  </r>
  <r>
    <s v="ORD-1828"/>
    <d v="2026-06-04T12:00:00"/>
    <s v="P-002"/>
    <s v="BR-20"/>
    <x v="1"/>
    <n v="124"/>
    <x v="1"/>
    <n v="280"/>
    <n v="110"/>
    <n v="2.2000000000000002"/>
    <x v="2"/>
    <n v="8"/>
    <n v="0.12"/>
    <n v="0.1"/>
    <n v="34720"/>
    <n v="31248"/>
    <n v="272.8"/>
    <n v="3749.7599999999998"/>
    <n v="3750"/>
    <n v="13640"/>
    <n v="10108.240000000002"/>
    <n v="0.32348438300051202"/>
  </r>
  <r>
    <s v="ORD-1842"/>
    <d v="2026-06-05T02:00:00"/>
    <s v="P-002"/>
    <s v="BR-20"/>
    <x v="2"/>
    <n v="136"/>
    <x v="1"/>
    <n v="280"/>
    <n v="110"/>
    <n v="2.2000000000000002"/>
    <x v="2"/>
    <n v="8"/>
    <n v="0.12"/>
    <n v="0.05"/>
    <n v="38080"/>
    <n v="36176"/>
    <n v="299.20000000000005"/>
    <n v="4341.12"/>
    <n v="4341"/>
    <n v="14960"/>
    <n v="12533.880000000001"/>
    <n v="0.34646948252985399"/>
  </r>
  <r>
    <s v="ORD-1852"/>
    <d v="2026-06-05T12:00:00"/>
    <s v="P-002"/>
    <s v="BR-20"/>
    <x v="1"/>
    <n v="67"/>
    <x v="1"/>
    <n v="280"/>
    <n v="110"/>
    <n v="2.2000000000000002"/>
    <x v="2"/>
    <n v="8"/>
    <n v="0.12"/>
    <n v="0.1"/>
    <n v="18760"/>
    <n v="16884"/>
    <n v="147.4"/>
    <n v="2026.08"/>
    <n v="2026"/>
    <n v="7370"/>
    <n v="5461.92"/>
    <n v="0.32349680170575701"/>
  </r>
  <r>
    <s v="ORD-1854"/>
    <d v="2026-06-05T14:00:00"/>
    <s v="P-002"/>
    <s v="BR-20"/>
    <x v="2"/>
    <n v="129"/>
    <x v="1"/>
    <n v="280"/>
    <n v="110"/>
    <n v="2.2000000000000002"/>
    <x v="2"/>
    <n v="8"/>
    <n v="0.12"/>
    <n v="0.05"/>
    <n v="36120"/>
    <n v="34314"/>
    <n v="283.8"/>
    <n v="4117.68"/>
    <n v="4118"/>
    <n v="14190"/>
    <n v="11888.32"/>
    <n v="0.346456839773853"/>
  </r>
  <r>
    <s v="ORD-1862"/>
    <d v="2026-06-05T22:00:00"/>
    <s v="P-002"/>
    <s v="BR-20"/>
    <x v="0"/>
    <n v="18"/>
    <x v="1"/>
    <n v="280"/>
    <n v="110"/>
    <n v="2.2000000000000002"/>
    <x v="2"/>
    <n v="8"/>
    <n v="0.12"/>
    <n v="0.02"/>
    <n v="5040"/>
    <n v="4939"/>
    <n v="39.6"/>
    <n v="592.67999999999995"/>
    <n v="593"/>
    <n v="1980"/>
    <n v="1773.3200000000002"/>
    <n v="0.359044340959708"/>
  </r>
  <r>
    <s v="ORD-1871"/>
    <d v="2026-06-06T07:00:00"/>
    <s v="P-002"/>
    <s v="BR-20"/>
    <x v="2"/>
    <n v="30"/>
    <x v="1"/>
    <n v="280"/>
    <n v="110"/>
    <n v="2.2000000000000002"/>
    <x v="2"/>
    <n v="8"/>
    <n v="0.12"/>
    <n v="0.05"/>
    <n v="8400"/>
    <n v="7980"/>
    <n v="66"/>
    <n v="957.59999999999991"/>
    <n v="958"/>
    <n v="3300"/>
    <n v="2764.3999999999996"/>
    <n v="0.34641604010025101"/>
  </r>
  <r>
    <s v="ORD-1872"/>
    <d v="2026-06-06T08:00:00"/>
    <s v="P-002"/>
    <s v="BR-20"/>
    <x v="0"/>
    <n v="145"/>
    <x v="1"/>
    <n v="280"/>
    <n v="110"/>
    <n v="2.2000000000000002"/>
    <x v="2"/>
    <n v="8"/>
    <n v="0.12"/>
    <n v="0.02"/>
    <n v="40600"/>
    <n v="39788"/>
    <n v="319"/>
    <n v="4774.5599999999995"/>
    <n v="4775"/>
    <n v="15950"/>
    <n v="14288.440000000002"/>
    <n v="0.35911430582085102"/>
  </r>
  <r>
    <s v="ORD-1892"/>
    <d v="2026-06-07T04:00:00"/>
    <s v="P-002"/>
    <s v="BR-20"/>
    <x v="0"/>
    <n v="55"/>
    <x v="1"/>
    <n v="280"/>
    <n v="110"/>
    <n v="2.2000000000000002"/>
    <x v="2"/>
    <n v="8"/>
    <n v="0.12"/>
    <n v="0.02"/>
    <n v="15400"/>
    <n v="15092"/>
    <n v="121.00000000000001"/>
    <n v="1811.04"/>
    <n v="1811"/>
    <n v="6050"/>
    <n v="5419.9599999999991"/>
    <n v="0.3591280148423"/>
  </r>
  <r>
    <s v="ORD-1893"/>
    <d v="2026-06-07T05:00:00"/>
    <s v="P-002"/>
    <s v="BR-20"/>
    <x v="1"/>
    <n v="51"/>
    <x v="1"/>
    <n v="280"/>
    <n v="110"/>
    <n v="2.2000000000000002"/>
    <x v="2"/>
    <n v="8"/>
    <n v="0.12"/>
    <n v="0.1"/>
    <n v="14280"/>
    <n v="12852"/>
    <n v="112.2"/>
    <n v="1542.24"/>
    <n v="1542"/>
    <n v="5610"/>
    <n v="4157.76"/>
    <n v="0.323510737628385"/>
  </r>
  <r>
    <s v="ORD-1900"/>
    <d v="2026-06-07T12:00:00"/>
    <s v="P-002"/>
    <s v="BR-20"/>
    <x v="2"/>
    <n v="140"/>
    <x v="1"/>
    <n v="280"/>
    <n v="110"/>
    <n v="2.2000000000000002"/>
    <x v="2"/>
    <n v="8"/>
    <n v="0.12"/>
    <n v="0.05"/>
    <n v="39200"/>
    <n v="37240"/>
    <n v="308"/>
    <n v="4468.8"/>
    <n v="4469"/>
    <n v="15400"/>
    <n v="12902.2"/>
    <n v="0.34646079484425402"/>
  </r>
  <r>
    <s v="ORD-1905"/>
    <d v="2026-06-07T17:00:00"/>
    <s v="P-002"/>
    <s v="BR-20"/>
    <x v="0"/>
    <n v="110"/>
    <x v="1"/>
    <n v="280"/>
    <n v="110"/>
    <n v="2.2000000000000002"/>
    <x v="2"/>
    <n v="8"/>
    <n v="0.12"/>
    <n v="0.02"/>
    <n v="30800"/>
    <n v="30184"/>
    <n v="242.00000000000003"/>
    <n v="3622.08"/>
    <n v="3622"/>
    <n v="12100"/>
    <n v="10839.919999999998"/>
    <n v="0.3591280148423"/>
  </r>
  <r>
    <s v="ORD-1910"/>
    <d v="2026-06-07T22:00:00"/>
    <s v="P-002"/>
    <s v="BR-20"/>
    <x v="0"/>
    <n v="174"/>
    <x v="1"/>
    <n v="280"/>
    <n v="110"/>
    <n v="2.2000000000000002"/>
    <x v="2"/>
    <n v="8"/>
    <n v="0.12"/>
    <n v="0.02"/>
    <n v="48720"/>
    <n v="47746"/>
    <n v="382.8"/>
    <n v="5729.5199999999995"/>
    <n v="5730"/>
    <n v="19140"/>
    <n v="17146.48"/>
    <n v="0.35911866962677502"/>
  </r>
  <r>
    <s v="ORD-1913"/>
    <d v="2026-06-08T01:00:00"/>
    <s v="P-002"/>
    <s v="BR-20"/>
    <x v="2"/>
    <n v="183"/>
    <x v="1"/>
    <n v="280"/>
    <n v="110"/>
    <n v="2.2000000000000002"/>
    <x v="2"/>
    <n v="8"/>
    <n v="0.12"/>
    <n v="0.05"/>
    <n v="51240"/>
    <n v="48678"/>
    <n v="402.6"/>
    <n v="5841.36"/>
    <n v="5841"/>
    <n v="20130"/>
    <n v="16865.64"/>
    <n v="0.34647356095155901"/>
  </r>
  <r>
    <s v="ORD-1925"/>
    <d v="2026-06-08T13:00:00"/>
    <s v="P-002"/>
    <s v="BR-20"/>
    <x v="1"/>
    <n v="174"/>
    <x v="1"/>
    <n v="280"/>
    <n v="110"/>
    <n v="2.2000000000000002"/>
    <x v="2"/>
    <n v="8"/>
    <n v="0.12"/>
    <n v="0.1"/>
    <n v="48720"/>
    <n v="43848"/>
    <n v="382.8"/>
    <n v="5261.76"/>
    <n v="5262"/>
    <n v="19140"/>
    <n v="14184.239999999998"/>
    <n v="0.32348659003831398"/>
  </r>
  <r>
    <s v="ORD-1931"/>
    <d v="2026-06-08T19:00:00"/>
    <s v="P-002"/>
    <s v="BR-20"/>
    <x v="1"/>
    <n v="41"/>
    <x v="1"/>
    <n v="280"/>
    <n v="110"/>
    <n v="2.2000000000000002"/>
    <x v="2"/>
    <n v="8"/>
    <n v="0.12"/>
    <n v="0.1"/>
    <n v="11480"/>
    <n v="10332"/>
    <n v="90.2"/>
    <n v="1239.8399999999999"/>
    <n v="1240"/>
    <n v="4510"/>
    <n v="3342.16"/>
    <n v="0.32347657762291898"/>
  </r>
  <r>
    <s v="ORD-1935"/>
    <d v="2026-06-08T23:00:00"/>
    <s v="P-002"/>
    <s v="BR-20"/>
    <x v="1"/>
    <n v="166"/>
    <x v="1"/>
    <n v="280"/>
    <n v="110"/>
    <n v="2.2000000000000002"/>
    <x v="2"/>
    <n v="8"/>
    <n v="0.12"/>
    <n v="0.1"/>
    <n v="46480"/>
    <n v="41832"/>
    <n v="365.20000000000005"/>
    <n v="5019.84"/>
    <n v="5020"/>
    <n v="18260"/>
    <n v="13532.16"/>
    <n v="0.32348823866896198"/>
  </r>
  <r>
    <s v="ORD-1939"/>
    <d v="2026-06-09T03:00:00"/>
    <s v="P-002"/>
    <s v="BR-20"/>
    <x v="1"/>
    <n v="24"/>
    <x v="1"/>
    <n v="280"/>
    <n v="110"/>
    <n v="2.2000000000000002"/>
    <x v="2"/>
    <n v="8"/>
    <n v="0.12"/>
    <n v="0.1"/>
    <n v="6720"/>
    <n v="6048"/>
    <n v="52.800000000000004"/>
    <n v="725.76"/>
    <n v="726"/>
    <n v="2640"/>
    <n v="1956.2399999999998"/>
    <n v="0.32345238095238099"/>
  </r>
  <r>
    <s v="ORD-1944"/>
    <d v="2026-06-09T08:00:00"/>
    <s v="P-002"/>
    <s v="BR-20"/>
    <x v="1"/>
    <n v="93"/>
    <x v="1"/>
    <n v="280"/>
    <n v="110"/>
    <n v="2.2000000000000002"/>
    <x v="2"/>
    <n v="8"/>
    <n v="0.12"/>
    <n v="0.1"/>
    <n v="26040"/>
    <n v="23436"/>
    <n v="204.60000000000002"/>
    <n v="2812.3199999999997"/>
    <n v="2812"/>
    <n v="10230"/>
    <n v="7581.68"/>
    <n v="0.323505717699266"/>
  </r>
  <r>
    <s v="ORD-1959"/>
    <d v="2026-06-09T23:00:00"/>
    <s v="P-002"/>
    <s v="BR-20"/>
    <x v="2"/>
    <n v="131"/>
    <x v="1"/>
    <n v="280"/>
    <n v="110"/>
    <n v="2.2000000000000002"/>
    <x v="2"/>
    <n v="8"/>
    <n v="0.12"/>
    <n v="0.05"/>
    <n v="36680"/>
    <n v="34846"/>
    <n v="288.20000000000005"/>
    <n v="4181.5199999999995"/>
    <n v="4182"/>
    <n v="14410"/>
    <n v="12072.48"/>
    <n v="0.34645239051827997"/>
  </r>
  <r>
    <s v="ORD-1962"/>
    <d v="2026-06-10T02:00:00"/>
    <s v="P-002"/>
    <s v="BR-20"/>
    <x v="2"/>
    <n v="42"/>
    <x v="1"/>
    <n v="280"/>
    <n v="110"/>
    <n v="2.2000000000000002"/>
    <x v="2"/>
    <n v="8"/>
    <n v="0.12"/>
    <n v="0.05"/>
    <n v="11760"/>
    <n v="11172"/>
    <n v="92.4"/>
    <n v="1340.6399999999999"/>
    <n v="1341"/>
    <n v="4620"/>
    <n v="3870.3600000000006"/>
    <n v="0.34643394199785199"/>
  </r>
  <r>
    <s v="ORD-1980"/>
    <d v="2026-06-10T20:00:00"/>
    <s v="P-002"/>
    <s v="BR-20"/>
    <x v="0"/>
    <n v="154"/>
    <x v="1"/>
    <n v="280"/>
    <n v="110"/>
    <n v="2.2000000000000002"/>
    <x v="2"/>
    <n v="8"/>
    <n v="0.12"/>
    <n v="0.02"/>
    <n v="43120"/>
    <n v="42258"/>
    <n v="338.8"/>
    <n v="5070.96"/>
    <n v="5071"/>
    <n v="16940"/>
    <n v="15176.04"/>
    <n v="0.359128212409485"/>
  </r>
  <r>
    <s v="ORD-1986"/>
    <d v="2026-06-11T02:00:00"/>
    <s v="P-002"/>
    <s v="BR-20"/>
    <x v="2"/>
    <n v="126"/>
    <x v="1"/>
    <n v="280"/>
    <n v="110"/>
    <n v="2.2000000000000002"/>
    <x v="2"/>
    <n v="8"/>
    <n v="0.12"/>
    <n v="0.05"/>
    <n v="35280"/>
    <n v="33516"/>
    <n v="277.20000000000005"/>
    <n v="4021.92"/>
    <n v="4022"/>
    <n v="13860"/>
    <n v="11612.080000000002"/>
    <n v="0.34646377849385401"/>
  </r>
  <r>
    <s v="ORD-1992"/>
    <d v="2026-06-11T08:00:00"/>
    <s v="P-002"/>
    <s v="BR-20"/>
    <x v="0"/>
    <n v="186"/>
    <x v="1"/>
    <n v="280"/>
    <n v="110"/>
    <n v="2.2000000000000002"/>
    <x v="2"/>
    <n v="8"/>
    <n v="0.12"/>
    <n v="0.02"/>
    <n v="52080"/>
    <n v="51038"/>
    <n v="409.20000000000005"/>
    <n v="6124.5599999999995"/>
    <n v="6125"/>
    <n v="20460"/>
    <n v="18328.440000000002"/>
    <n v="0.35911360163015799"/>
  </r>
  <r>
    <s v="ORD-1000"/>
    <d v="2026-05-01T00:00:00"/>
    <s v="P-002"/>
    <s v="BR-10"/>
    <x v="2"/>
    <n v="29"/>
    <x v="1"/>
    <n v="280"/>
    <n v="110"/>
    <n v="2.2000000000000002"/>
    <x v="0"/>
    <n v="4.5"/>
    <n v="0.05"/>
    <n v="0.05"/>
    <n v="8120"/>
    <n v="7714"/>
    <n v="63.800000000000004"/>
    <n v="385.70000000000005"/>
    <n v="386"/>
    <n v="3190"/>
    <n v="3752.3"/>
    <n v="0.48642727508426198"/>
  </r>
  <r>
    <s v="ORD-1001"/>
    <d v="2026-05-01T01:00:00"/>
    <s v="P-002"/>
    <s v="BR-10"/>
    <x v="2"/>
    <n v="53"/>
    <x v="1"/>
    <n v="280"/>
    <n v="110"/>
    <n v="2.2000000000000002"/>
    <x v="0"/>
    <n v="4.5"/>
    <n v="0.05"/>
    <n v="0.05"/>
    <n v="14840"/>
    <n v="14098"/>
    <n v="116.60000000000001"/>
    <n v="704.90000000000009"/>
    <n v="705"/>
    <n v="5830"/>
    <n v="6858.1"/>
    <n v="0.48645907220882401"/>
  </r>
  <r>
    <s v="ORD-1002"/>
    <d v="2026-05-01T02:00:00"/>
    <s v="P-002"/>
    <s v="BR-10"/>
    <x v="1"/>
    <n v="156"/>
    <x v="1"/>
    <n v="280"/>
    <n v="110"/>
    <n v="2.2000000000000002"/>
    <x v="0"/>
    <n v="4.5"/>
    <n v="0.05"/>
    <n v="0.1"/>
    <n v="43680"/>
    <n v="39312"/>
    <n v="343.20000000000005"/>
    <n v="1965.6000000000001"/>
    <n v="1966"/>
    <n v="17160"/>
    <n v="18220.400000000001"/>
    <n v="0.46348188848188898"/>
  </r>
  <r>
    <s v="ORD-1019"/>
    <d v="2026-05-01T19:00:00"/>
    <s v="P-002"/>
    <s v="BR-10"/>
    <x v="0"/>
    <n v="154"/>
    <x v="1"/>
    <n v="280"/>
    <n v="110"/>
    <n v="2.2000000000000002"/>
    <x v="0"/>
    <n v="4.5"/>
    <n v="0.05"/>
    <n v="0.02"/>
    <n v="43120"/>
    <n v="42258"/>
    <n v="338.8"/>
    <n v="2112.9"/>
    <n v="2113"/>
    <n v="16940"/>
    <n v="21092.1"/>
    <n v="0.49912679255998899"/>
  </r>
  <r>
    <s v="ORD-1021"/>
    <d v="2026-05-01T21:00:00"/>
    <s v="P-002"/>
    <s v="BR-10"/>
    <x v="1"/>
    <n v="169"/>
    <x v="1"/>
    <n v="280"/>
    <n v="110"/>
    <n v="2.2000000000000002"/>
    <x v="0"/>
    <n v="4.5"/>
    <n v="0.05"/>
    <n v="0.1"/>
    <n v="47320"/>
    <n v="42588"/>
    <n v="371.8"/>
    <n v="2129.4"/>
    <n v="2129"/>
    <n v="18590"/>
    <n v="19739.599999999999"/>
    <n v="0.46350145580914798"/>
  </r>
  <r>
    <s v="ORD-1023"/>
    <d v="2026-05-01T23:00:00"/>
    <s v="P-002"/>
    <s v="BR-10"/>
    <x v="0"/>
    <n v="66"/>
    <x v="1"/>
    <n v="280"/>
    <n v="110"/>
    <n v="2.2000000000000002"/>
    <x v="0"/>
    <n v="4.5"/>
    <n v="0.05"/>
    <n v="0.02"/>
    <n v="18480"/>
    <n v="18110"/>
    <n v="145.20000000000002"/>
    <n v="905.5"/>
    <n v="906"/>
    <n v="7260"/>
    <n v="9038.5"/>
    <n v="0.49908890115957999"/>
  </r>
  <r>
    <s v="ORD-1033"/>
    <d v="2026-05-02T09:00:00"/>
    <s v="P-002"/>
    <s v="BR-10"/>
    <x v="1"/>
    <n v="49"/>
    <x v="1"/>
    <n v="280"/>
    <n v="110"/>
    <n v="2.2000000000000002"/>
    <x v="0"/>
    <n v="4.5"/>
    <n v="0.05"/>
    <n v="0.1"/>
    <n v="13720"/>
    <n v="12348"/>
    <n v="107.80000000000001"/>
    <n v="617.40000000000009"/>
    <n v="617"/>
    <n v="5390"/>
    <n v="5723.6"/>
    <n v="0.46352445740200798"/>
  </r>
  <r>
    <s v="ORD-1034"/>
    <d v="2026-05-02T10:00:00"/>
    <s v="P-002"/>
    <s v="BR-10"/>
    <x v="2"/>
    <n v="37"/>
    <x v="1"/>
    <n v="280"/>
    <n v="110"/>
    <n v="2.2000000000000002"/>
    <x v="0"/>
    <n v="4.5"/>
    <n v="0.05"/>
    <n v="0.05"/>
    <n v="10360"/>
    <n v="9842"/>
    <n v="81.400000000000006"/>
    <n v="492.1"/>
    <n v="492"/>
    <n v="4070"/>
    <n v="4787.8999999999996"/>
    <n v="0.48647632595001"/>
  </r>
  <r>
    <s v="ORD-1047"/>
    <d v="2026-05-02T23:00:00"/>
    <s v="P-002"/>
    <s v="BR-10"/>
    <x v="2"/>
    <n v="193"/>
    <x v="1"/>
    <n v="280"/>
    <n v="110"/>
    <n v="2.2000000000000002"/>
    <x v="0"/>
    <n v="4.5"/>
    <n v="0.05"/>
    <n v="0.05"/>
    <n v="54040"/>
    <n v="51338"/>
    <n v="424.6"/>
    <n v="2566.9"/>
    <n v="2567"/>
    <n v="21230"/>
    <n v="24974.1"/>
    <n v="0.48646421753866498"/>
  </r>
  <r>
    <s v="ORD-1053"/>
    <d v="2026-05-03T05:00:00"/>
    <s v="P-002"/>
    <s v="BR-10"/>
    <x v="1"/>
    <n v="169"/>
    <x v="1"/>
    <n v="280"/>
    <n v="110"/>
    <n v="2.2000000000000002"/>
    <x v="0"/>
    <n v="4.5"/>
    <n v="0.05"/>
    <n v="0.1"/>
    <n v="47320"/>
    <n v="42588"/>
    <n v="371.8"/>
    <n v="2129.4"/>
    <n v="2129"/>
    <n v="18590"/>
    <n v="19739.599999999999"/>
    <n v="0.46350145580914798"/>
  </r>
  <r>
    <s v="ORD-1068"/>
    <d v="2026-05-03T20:00:00"/>
    <s v="P-002"/>
    <s v="BR-10"/>
    <x v="2"/>
    <n v="155"/>
    <x v="1"/>
    <n v="280"/>
    <n v="110"/>
    <n v="2.2000000000000002"/>
    <x v="0"/>
    <n v="4.5"/>
    <n v="0.05"/>
    <n v="0.05"/>
    <n v="43400"/>
    <n v="41230"/>
    <n v="341"/>
    <n v="2061.5"/>
    <n v="2062"/>
    <n v="17050"/>
    <n v="20056.5"/>
    <n v="0.48645403832160999"/>
  </r>
  <r>
    <s v="ORD-1073"/>
    <d v="2026-05-04T01:00:00"/>
    <s v="P-002"/>
    <s v="BR-10"/>
    <x v="1"/>
    <n v="96"/>
    <x v="1"/>
    <n v="280"/>
    <n v="110"/>
    <n v="2.2000000000000002"/>
    <x v="0"/>
    <n v="4.5"/>
    <n v="0.05"/>
    <n v="0.1"/>
    <n v="26880"/>
    <n v="24192"/>
    <n v="211.20000000000002"/>
    <n v="1209.6000000000001"/>
    <n v="1210"/>
    <n v="10560"/>
    <n v="11212.4"/>
    <n v="0.46347552910052903"/>
  </r>
  <r>
    <s v="ORD-1085"/>
    <d v="2026-05-04T13:00:00"/>
    <s v="P-002"/>
    <s v="BR-10"/>
    <x v="1"/>
    <n v="12"/>
    <x v="1"/>
    <n v="280"/>
    <n v="110"/>
    <n v="2.2000000000000002"/>
    <x v="0"/>
    <n v="4.5"/>
    <n v="0.05"/>
    <n v="0.1"/>
    <n v="3360"/>
    <n v="3024"/>
    <n v="26.400000000000002"/>
    <n v="151.20000000000002"/>
    <n v="151"/>
    <n v="1320"/>
    <n v="1401.8"/>
    <n v="0.463558201058201"/>
  </r>
  <r>
    <s v="ORD-1087"/>
    <d v="2026-05-04T15:00:00"/>
    <s v="P-002"/>
    <s v="BR-10"/>
    <x v="2"/>
    <n v="157"/>
    <x v="1"/>
    <n v="280"/>
    <n v="110"/>
    <n v="2.2000000000000002"/>
    <x v="0"/>
    <n v="4.5"/>
    <n v="0.05"/>
    <n v="0.05"/>
    <n v="43960"/>
    <n v="41762"/>
    <n v="345.40000000000003"/>
    <n v="2088.1"/>
    <n v="2088"/>
    <n v="17270"/>
    <n v="20315.900000000001"/>
    <n v="0.48646855993486898"/>
  </r>
  <r>
    <s v="ORD-1105"/>
    <d v="2026-05-05T09:00:00"/>
    <s v="P-002"/>
    <s v="BR-10"/>
    <x v="2"/>
    <n v="29"/>
    <x v="1"/>
    <n v="280"/>
    <n v="110"/>
    <n v="2.2000000000000002"/>
    <x v="0"/>
    <n v="4.5"/>
    <n v="0.05"/>
    <n v="0.05"/>
    <n v="8120"/>
    <n v="7714"/>
    <n v="63.800000000000004"/>
    <n v="385.70000000000005"/>
    <n v="386"/>
    <n v="3190"/>
    <n v="3752.3"/>
    <n v="0.48642727508426198"/>
  </r>
  <r>
    <s v="ORD-1111"/>
    <d v="2026-05-05T15:00:00"/>
    <s v="P-002"/>
    <s v="BR-10"/>
    <x v="0"/>
    <n v="140"/>
    <x v="1"/>
    <n v="280"/>
    <n v="110"/>
    <n v="2.2000000000000002"/>
    <x v="0"/>
    <n v="4.5"/>
    <n v="0.05"/>
    <n v="0.02"/>
    <n v="39200"/>
    <n v="38416"/>
    <n v="308"/>
    <n v="1920.8000000000002"/>
    <n v="1921"/>
    <n v="15400"/>
    <n v="19174.2"/>
    <n v="0.49912015826738898"/>
  </r>
  <r>
    <s v="ORD-1113"/>
    <d v="2026-05-05T17:00:00"/>
    <s v="P-002"/>
    <s v="BR-10"/>
    <x v="1"/>
    <n v="126"/>
    <x v="1"/>
    <n v="280"/>
    <n v="110"/>
    <n v="2.2000000000000002"/>
    <x v="0"/>
    <n v="4.5"/>
    <n v="0.05"/>
    <n v="0.1"/>
    <n v="35280"/>
    <n v="31752"/>
    <n v="277.20000000000005"/>
    <n v="1587.6000000000001"/>
    <n v="1588"/>
    <n v="13860"/>
    <n v="14716.400000000001"/>
    <n v="0.46347946586041799"/>
  </r>
  <r>
    <s v="ORD-1141"/>
    <d v="2026-05-06T21:00:00"/>
    <s v="P-002"/>
    <s v="BR-10"/>
    <x v="0"/>
    <n v="119"/>
    <x v="1"/>
    <n v="280"/>
    <n v="110"/>
    <n v="2.2000000000000002"/>
    <x v="0"/>
    <n v="4.5"/>
    <n v="0.05"/>
    <n v="0.02"/>
    <n v="33320"/>
    <n v="32654"/>
    <n v="261.8"/>
    <n v="1632.7"/>
    <n v="1633"/>
    <n v="13090"/>
    <n v="16298.3"/>
    <n v="0.49912108776872699"/>
  </r>
  <r>
    <s v="ORD-1142"/>
    <d v="2026-05-06T22:00:00"/>
    <s v="P-002"/>
    <s v="BR-10"/>
    <x v="0"/>
    <n v="177"/>
    <x v="1"/>
    <n v="280"/>
    <n v="110"/>
    <n v="2.2000000000000002"/>
    <x v="0"/>
    <n v="4.5"/>
    <n v="0.05"/>
    <n v="0.02"/>
    <n v="49560"/>
    <n v="48569"/>
    <n v="389.40000000000003"/>
    <n v="2428.4500000000003"/>
    <n v="2428"/>
    <n v="19470"/>
    <n v="24242.55"/>
    <n v="0.499136280343429"/>
  </r>
  <r>
    <s v="ORD-1145"/>
    <d v="2026-05-07T01:00:00"/>
    <s v="P-002"/>
    <s v="BR-10"/>
    <x v="0"/>
    <n v="77"/>
    <x v="1"/>
    <n v="280"/>
    <n v="110"/>
    <n v="2.2000000000000002"/>
    <x v="0"/>
    <n v="4.5"/>
    <n v="0.05"/>
    <n v="0.02"/>
    <n v="21560"/>
    <n v="21129"/>
    <n v="169.4"/>
    <n v="1056.45"/>
    <n v="1056"/>
    <n v="8470"/>
    <n v="10546.55"/>
    <n v="0.49915045671825398"/>
  </r>
  <r>
    <s v="ORD-1172"/>
    <d v="2026-05-08T04:00:00"/>
    <s v="P-002"/>
    <s v="BR-10"/>
    <x v="0"/>
    <n v="156"/>
    <x v="1"/>
    <n v="280"/>
    <n v="110"/>
    <n v="2.2000000000000002"/>
    <x v="0"/>
    <n v="4.5"/>
    <n v="0.05"/>
    <n v="0.02"/>
    <n v="43680"/>
    <n v="42806"/>
    <n v="343.20000000000005"/>
    <n v="2140.3000000000002"/>
    <n v="2140"/>
    <n v="17160"/>
    <n v="21365.7"/>
    <n v="0.49912862682801501"/>
  </r>
  <r>
    <s v="ORD-1177"/>
    <d v="2026-05-08T09:00:00"/>
    <s v="P-002"/>
    <s v="BR-10"/>
    <x v="0"/>
    <n v="112"/>
    <x v="1"/>
    <n v="280"/>
    <n v="110"/>
    <n v="2.2000000000000002"/>
    <x v="0"/>
    <n v="4.5"/>
    <n v="0.05"/>
    <n v="0.02"/>
    <n v="31360"/>
    <n v="30733"/>
    <n v="246.40000000000003"/>
    <n v="1536.65"/>
    <n v="1537"/>
    <n v="12320"/>
    <n v="15339.35"/>
    <n v="0.49911658477857701"/>
  </r>
  <r>
    <s v="ORD-1183"/>
    <d v="2026-05-08T15:00:00"/>
    <s v="P-002"/>
    <s v="BR-10"/>
    <x v="2"/>
    <n v="140"/>
    <x v="1"/>
    <n v="280"/>
    <n v="110"/>
    <n v="2.2000000000000002"/>
    <x v="0"/>
    <n v="4.5"/>
    <n v="0.05"/>
    <n v="0.05"/>
    <n v="39200"/>
    <n v="37240"/>
    <n v="308"/>
    <n v="1862"/>
    <n v="1862"/>
    <n v="15400"/>
    <n v="18116"/>
    <n v="0.48646616541353399"/>
  </r>
  <r>
    <s v="ORD-1187"/>
    <d v="2026-05-08T19:00:00"/>
    <s v="P-002"/>
    <s v="BR-10"/>
    <x v="2"/>
    <n v="112"/>
    <x v="1"/>
    <n v="280"/>
    <n v="110"/>
    <n v="2.2000000000000002"/>
    <x v="0"/>
    <n v="4.5"/>
    <n v="0.05"/>
    <n v="0.05"/>
    <n v="31360"/>
    <n v="29792"/>
    <n v="246.40000000000003"/>
    <n v="1489.6000000000001"/>
    <n v="1490"/>
    <n v="12320"/>
    <n v="14492.4"/>
    <n v="0.48645273899033298"/>
  </r>
  <r>
    <s v="ORD-1190"/>
    <d v="2026-05-08T22:00:00"/>
    <s v="P-002"/>
    <s v="BR-10"/>
    <x v="1"/>
    <n v="13"/>
    <x v="1"/>
    <n v="280"/>
    <n v="110"/>
    <n v="2.2000000000000002"/>
    <x v="0"/>
    <n v="4.5"/>
    <n v="0.05"/>
    <n v="0.1"/>
    <n v="3640"/>
    <n v="3276"/>
    <n v="28.6"/>
    <n v="163.80000000000001"/>
    <n v="164"/>
    <n v="1430"/>
    <n v="1518.2"/>
    <n v="0.46343101343101301"/>
  </r>
  <r>
    <s v="ORD-1210"/>
    <d v="2026-05-09T18:00:00"/>
    <s v="P-002"/>
    <s v="BR-10"/>
    <x v="2"/>
    <n v="75"/>
    <x v="1"/>
    <n v="280"/>
    <n v="110"/>
    <n v="2.2000000000000002"/>
    <x v="0"/>
    <n v="4.5"/>
    <n v="0.05"/>
    <n v="0.05"/>
    <n v="21000"/>
    <n v="19950"/>
    <n v="165"/>
    <n v="997.5"/>
    <n v="998"/>
    <n v="8250"/>
    <n v="9704.5"/>
    <n v="0.48644110275689201"/>
  </r>
  <r>
    <s v="ORD-1222"/>
    <d v="2026-05-10T06:00:00"/>
    <s v="P-002"/>
    <s v="BR-10"/>
    <x v="2"/>
    <n v="128"/>
    <x v="1"/>
    <n v="280"/>
    <n v="110"/>
    <n v="2.2000000000000002"/>
    <x v="0"/>
    <n v="4.5"/>
    <n v="0.05"/>
    <n v="0.05"/>
    <n v="35840"/>
    <n v="34048"/>
    <n v="281.60000000000002"/>
    <n v="1702.4"/>
    <n v="1702"/>
    <n v="14080"/>
    <n v="16563.599999999999"/>
    <n v="0.48647791353383402"/>
  </r>
  <r>
    <s v="ORD-1226"/>
    <d v="2026-05-10T10:00:00"/>
    <s v="P-002"/>
    <s v="BR-10"/>
    <x v="1"/>
    <n v="31"/>
    <x v="1"/>
    <n v="280"/>
    <n v="110"/>
    <n v="2.2000000000000002"/>
    <x v="0"/>
    <n v="4.5"/>
    <n v="0.05"/>
    <n v="0.1"/>
    <n v="8680"/>
    <n v="7812"/>
    <n v="68.2"/>
    <n v="390.6"/>
    <n v="391"/>
    <n v="3410"/>
    <n v="3620.3999999999996"/>
    <n v="0.46344086021505398"/>
  </r>
  <r>
    <s v="ORD-1244"/>
    <d v="2026-05-11T04:00:00"/>
    <s v="P-002"/>
    <s v="BR-10"/>
    <x v="1"/>
    <n v="63"/>
    <x v="1"/>
    <n v="280"/>
    <n v="110"/>
    <n v="2.2000000000000002"/>
    <x v="0"/>
    <n v="4.5"/>
    <n v="0.05"/>
    <n v="0.1"/>
    <n v="17640"/>
    <n v="15876"/>
    <n v="138.60000000000002"/>
    <n v="793.80000000000007"/>
    <n v="794"/>
    <n v="6930"/>
    <n v="7358.2000000000007"/>
    <n v="0.46347946586041799"/>
  </r>
  <r>
    <s v="ORD-1246"/>
    <d v="2026-05-11T06:00:00"/>
    <s v="P-002"/>
    <s v="BR-10"/>
    <x v="0"/>
    <n v="22"/>
    <x v="1"/>
    <n v="280"/>
    <n v="110"/>
    <n v="2.2000000000000002"/>
    <x v="0"/>
    <n v="4.5"/>
    <n v="0.05"/>
    <n v="0.02"/>
    <n v="6160"/>
    <n v="6037"/>
    <n v="48.400000000000006"/>
    <n v="301.85000000000002"/>
    <n v="302"/>
    <n v="2420"/>
    <n v="3013.15"/>
    <n v="0.49911379824416102"/>
  </r>
  <r>
    <s v="ORD-1250"/>
    <d v="2026-05-11T10:00:00"/>
    <s v="P-002"/>
    <s v="BR-10"/>
    <x v="2"/>
    <n v="130"/>
    <x v="1"/>
    <n v="280"/>
    <n v="110"/>
    <n v="2.2000000000000002"/>
    <x v="0"/>
    <n v="4.5"/>
    <n v="0.05"/>
    <n v="0.05"/>
    <n v="36400"/>
    <n v="34580"/>
    <n v="286"/>
    <n v="1729"/>
    <n v="1729"/>
    <n v="14300"/>
    <n v="16822"/>
    <n v="0.48646616541353399"/>
  </r>
  <r>
    <s v="ORD-1265"/>
    <d v="2026-05-12T01:00:00"/>
    <s v="P-002"/>
    <s v="BR-10"/>
    <x v="1"/>
    <n v="131"/>
    <x v="1"/>
    <n v="280"/>
    <n v="110"/>
    <n v="2.2000000000000002"/>
    <x v="0"/>
    <n v="4.5"/>
    <n v="0.05"/>
    <n v="0.1"/>
    <n v="36680"/>
    <n v="33012"/>
    <n v="288.20000000000005"/>
    <n v="1650.6000000000001"/>
    <n v="1651"/>
    <n v="14410"/>
    <n v="15300.400000000001"/>
    <n v="0.46347994668605402"/>
  </r>
  <r>
    <s v="ORD-1274"/>
    <d v="2026-05-12T10:00:00"/>
    <s v="P-002"/>
    <s v="BR-10"/>
    <x v="1"/>
    <n v="109"/>
    <x v="1"/>
    <n v="280"/>
    <n v="110"/>
    <n v="2.2000000000000002"/>
    <x v="0"/>
    <n v="4.5"/>
    <n v="0.05"/>
    <n v="0.1"/>
    <n v="30520"/>
    <n v="27468"/>
    <n v="239.8"/>
    <n v="1373.4"/>
    <n v="1373"/>
    <n v="11990"/>
    <n v="12731.6"/>
    <n v="0.46350662589194702"/>
  </r>
  <r>
    <s v="ORD-1279"/>
    <d v="2026-05-12T15:00:00"/>
    <s v="P-002"/>
    <s v="BR-10"/>
    <x v="0"/>
    <n v="118"/>
    <x v="1"/>
    <n v="280"/>
    <n v="110"/>
    <n v="2.2000000000000002"/>
    <x v="0"/>
    <n v="4.5"/>
    <n v="0.05"/>
    <n v="0.02"/>
    <n v="33040"/>
    <n v="32379"/>
    <n v="259.60000000000002"/>
    <n v="1618.95"/>
    <n v="1619"/>
    <n v="12980"/>
    <n v="16161.05"/>
    <n v="0.49912134408103997"/>
  </r>
  <r>
    <s v="ORD-1287"/>
    <d v="2026-05-12T23:00:00"/>
    <s v="P-002"/>
    <s v="BR-10"/>
    <x v="0"/>
    <n v="175"/>
    <x v="1"/>
    <n v="280"/>
    <n v="110"/>
    <n v="2.2000000000000002"/>
    <x v="0"/>
    <n v="4.5"/>
    <n v="0.05"/>
    <n v="0.02"/>
    <n v="49000"/>
    <n v="48020"/>
    <n v="385.00000000000006"/>
    <n v="2401"/>
    <n v="2401"/>
    <n v="19250"/>
    <n v="23968"/>
    <n v="0.49912536443148697"/>
  </r>
  <r>
    <s v="ORD-1301"/>
    <d v="2026-05-13T13:00:00"/>
    <s v="P-002"/>
    <s v="BR-10"/>
    <x v="2"/>
    <n v="78"/>
    <x v="1"/>
    <n v="280"/>
    <n v="110"/>
    <n v="2.2000000000000002"/>
    <x v="0"/>
    <n v="4.5"/>
    <n v="0.05"/>
    <n v="0.05"/>
    <n v="21840"/>
    <n v="20748"/>
    <n v="171.60000000000002"/>
    <n v="1037.4000000000001"/>
    <n v="1037"/>
    <n v="8580"/>
    <n v="10093.6"/>
    <n v="0.48648544438018099"/>
  </r>
  <r>
    <s v="ORD-1314"/>
    <d v="2026-05-14T02:00:00"/>
    <s v="P-002"/>
    <s v="BR-10"/>
    <x v="1"/>
    <n v="90"/>
    <x v="1"/>
    <n v="280"/>
    <n v="110"/>
    <n v="2.2000000000000002"/>
    <x v="0"/>
    <n v="4.5"/>
    <n v="0.05"/>
    <n v="0.1"/>
    <n v="25200"/>
    <n v="22680"/>
    <n v="198.00000000000003"/>
    <n v="1134"/>
    <n v="1134"/>
    <n v="9900"/>
    <n v="10512"/>
    <n v="0.46349206349206401"/>
  </r>
  <r>
    <s v="ORD-1328"/>
    <d v="2026-05-14T16:00:00"/>
    <s v="P-002"/>
    <s v="BR-10"/>
    <x v="1"/>
    <n v="179"/>
    <x v="1"/>
    <n v="280"/>
    <n v="110"/>
    <n v="2.2000000000000002"/>
    <x v="0"/>
    <n v="4.5"/>
    <n v="0.05"/>
    <n v="0.1"/>
    <n v="50120"/>
    <n v="45108"/>
    <n v="393.8"/>
    <n v="2255.4"/>
    <n v="2255"/>
    <n v="19690"/>
    <n v="20907.599999999999"/>
    <n v="0.463500931098696"/>
  </r>
  <r>
    <s v="ORD-1342"/>
    <d v="2026-05-15T06:00:00"/>
    <s v="P-002"/>
    <s v="BR-10"/>
    <x v="2"/>
    <n v="152"/>
    <x v="1"/>
    <n v="280"/>
    <n v="110"/>
    <n v="2.2000000000000002"/>
    <x v="0"/>
    <n v="4.5"/>
    <n v="0.05"/>
    <n v="0.05"/>
    <n v="42560"/>
    <n v="40432"/>
    <n v="334.40000000000003"/>
    <n v="2021.6000000000001"/>
    <n v="2022"/>
    <n v="16720"/>
    <n v="19668.400000000001"/>
    <n v="0.48645627225959598"/>
  </r>
  <r>
    <s v="ORD-1349"/>
    <d v="2026-05-15T13:00:00"/>
    <s v="P-002"/>
    <s v="BR-10"/>
    <x v="1"/>
    <n v="73"/>
    <x v="1"/>
    <n v="280"/>
    <n v="110"/>
    <n v="2.2000000000000002"/>
    <x v="0"/>
    <n v="4.5"/>
    <n v="0.05"/>
    <n v="0.1"/>
    <n v="20440"/>
    <n v="18396"/>
    <n v="160.60000000000002"/>
    <n v="919.80000000000007"/>
    <n v="920"/>
    <n v="8030"/>
    <n v="8526.2000000000007"/>
    <n v="0.46348119156338302"/>
  </r>
  <r>
    <s v="ORD-1351"/>
    <d v="2026-05-15T15:00:00"/>
    <s v="P-002"/>
    <s v="BR-10"/>
    <x v="2"/>
    <n v="39"/>
    <x v="1"/>
    <n v="280"/>
    <n v="110"/>
    <n v="2.2000000000000002"/>
    <x v="0"/>
    <n v="4.5"/>
    <n v="0.05"/>
    <n v="0.05"/>
    <n v="10920"/>
    <n v="10374"/>
    <n v="85.800000000000011"/>
    <n v="518.70000000000005"/>
    <n v="519"/>
    <n v="4290"/>
    <n v="5046.3"/>
    <n v="0.486437246963563"/>
  </r>
  <r>
    <s v="ORD-1371"/>
    <d v="2026-05-16T11:00:00"/>
    <s v="P-002"/>
    <s v="BR-10"/>
    <x v="0"/>
    <n v="95"/>
    <x v="1"/>
    <n v="280"/>
    <n v="110"/>
    <n v="2.2000000000000002"/>
    <x v="0"/>
    <n v="4.5"/>
    <n v="0.05"/>
    <n v="0.02"/>
    <n v="26600"/>
    <n v="26068"/>
    <n v="209.00000000000003"/>
    <n v="1303.4000000000001"/>
    <n v="1303"/>
    <n v="10450"/>
    <n v="13011.6"/>
    <n v="0.499140708915145"/>
  </r>
  <r>
    <s v="ORD-1373"/>
    <d v="2026-05-16T13:00:00"/>
    <s v="P-002"/>
    <s v="BR-10"/>
    <x v="1"/>
    <n v="175"/>
    <x v="1"/>
    <n v="280"/>
    <n v="110"/>
    <n v="2.2000000000000002"/>
    <x v="0"/>
    <n v="4.5"/>
    <n v="0.05"/>
    <n v="0.1"/>
    <n v="49000"/>
    <n v="44100"/>
    <n v="385.00000000000006"/>
    <n v="2205"/>
    <n v="2205"/>
    <n v="19250"/>
    <n v="20440"/>
    <n v="0.46349206349206401"/>
  </r>
  <r>
    <s v="ORD-1378"/>
    <d v="2026-05-16T18:00:00"/>
    <s v="P-002"/>
    <s v="BR-10"/>
    <x v="1"/>
    <n v="73"/>
    <x v="1"/>
    <n v="280"/>
    <n v="110"/>
    <n v="2.2000000000000002"/>
    <x v="0"/>
    <n v="4.5"/>
    <n v="0.05"/>
    <n v="0.1"/>
    <n v="20440"/>
    <n v="18396"/>
    <n v="160.60000000000002"/>
    <n v="919.80000000000007"/>
    <n v="920"/>
    <n v="8030"/>
    <n v="8526.2000000000007"/>
    <n v="0.46348119156338302"/>
  </r>
  <r>
    <s v="ORD-1389"/>
    <d v="2026-05-17T05:00:00"/>
    <s v="P-002"/>
    <s v="BR-10"/>
    <x v="2"/>
    <n v="189"/>
    <x v="1"/>
    <n v="280"/>
    <n v="110"/>
    <n v="2.2000000000000002"/>
    <x v="0"/>
    <n v="4.5"/>
    <n v="0.05"/>
    <n v="0.05"/>
    <n v="52920"/>
    <n v="50274"/>
    <n v="415.8"/>
    <n v="2513.7000000000003"/>
    <n v="2514"/>
    <n v="20790"/>
    <n v="24456.3"/>
    <n v="0.486460198114333"/>
  </r>
  <r>
    <s v="ORD-1400"/>
    <d v="2026-05-17T16:00:00"/>
    <s v="P-002"/>
    <s v="BR-10"/>
    <x v="0"/>
    <n v="53"/>
    <x v="1"/>
    <n v="280"/>
    <n v="110"/>
    <n v="2.2000000000000002"/>
    <x v="0"/>
    <n v="4.5"/>
    <n v="0.05"/>
    <n v="0.02"/>
    <n v="14840"/>
    <n v="14543"/>
    <n v="116.60000000000001"/>
    <n v="727.15000000000009"/>
    <n v="727"/>
    <n v="5830"/>
    <n v="7258.85"/>
    <n v="0.49913016571546498"/>
  </r>
  <r>
    <s v="ORD-1417"/>
    <d v="2026-05-18T09:00:00"/>
    <s v="P-002"/>
    <s v="BR-10"/>
    <x v="0"/>
    <n v="192"/>
    <x v="1"/>
    <n v="280"/>
    <n v="110"/>
    <n v="2.2000000000000002"/>
    <x v="0"/>
    <n v="4.5"/>
    <n v="0.05"/>
    <n v="0.02"/>
    <n v="53760"/>
    <n v="52685"/>
    <n v="422.40000000000003"/>
    <n v="2634.25"/>
    <n v="2634"/>
    <n v="21120"/>
    <n v="26296.75"/>
    <n v="0.49913163139413502"/>
  </r>
  <r>
    <s v="ORD-1418"/>
    <d v="2026-05-18T10:00:00"/>
    <s v="P-002"/>
    <s v="BR-10"/>
    <x v="0"/>
    <n v="41"/>
    <x v="1"/>
    <n v="280"/>
    <n v="110"/>
    <n v="2.2000000000000002"/>
    <x v="0"/>
    <n v="4.5"/>
    <n v="0.05"/>
    <n v="0.02"/>
    <n v="11480"/>
    <n v="11250"/>
    <n v="90.2"/>
    <n v="562.5"/>
    <n v="562"/>
    <n v="4510"/>
    <n v="5615.5"/>
    <n v="0.49915555555555602"/>
  </r>
  <r>
    <s v="ORD-1425"/>
    <d v="2026-05-18T17:00:00"/>
    <s v="P-002"/>
    <s v="BR-10"/>
    <x v="0"/>
    <n v="84"/>
    <x v="1"/>
    <n v="280"/>
    <n v="110"/>
    <n v="2.2000000000000002"/>
    <x v="0"/>
    <n v="4.5"/>
    <n v="0.05"/>
    <n v="0.02"/>
    <n v="23520"/>
    <n v="23050"/>
    <n v="184.8"/>
    <n v="1152.5"/>
    <n v="1152"/>
    <n v="9240"/>
    <n v="11505.5"/>
    <n v="0.49915401301518397"/>
  </r>
  <r>
    <s v="ORD-1444"/>
    <d v="2026-05-19T12:00:00"/>
    <s v="P-002"/>
    <s v="BR-10"/>
    <x v="0"/>
    <n v="48"/>
    <x v="1"/>
    <n v="280"/>
    <n v="110"/>
    <n v="2.2000000000000002"/>
    <x v="0"/>
    <n v="4.5"/>
    <n v="0.05"/>
    <n v="0.02"/>
    <n v="13440"/>
    <n v="13171"/>
    <n v="105.60000000000001"/>
    <n v="658.55000000000007"/>
    <n v="659"/>
    <n v="5280"/>
    <n v="6573.45"/>
    <n v="0.49908511122921601"/>
  </r>
  <r>
    <s v="ORD-1453"/>
    <d v="2026-05-19T21:00:00"/>
    <s v="P-002"/>
    <s v="BR-10"/>
    <x v="0"/>
    <n v="108"/>
    <x v="1"/>
    <n v="280"/>
    <n v="110"/>
    <n v="2.2000000000000002"/>
    <x v="0"/>
    <n v="4.5"/>
    <n v="0.05"/>
    <n v="0.02"/>
    <n v="30240"/>
    <n v="29635"/>
    <n v="237.60000000000002"/>
    <n v="1481.75"/>
    <n v="1482"/>
    <n v="11880"/>
    <n v="14791.25"/>
    <n v="0.49911422304707298"/>
  </r>
  <r>
    <s v="ORD-1458"/>
    <d v="2026-05-20T02:00:00"/>
    <s v="P-002"/>
    <s v="BR-10"/>
    <x v="2"/>
    <n v="32"/>
    <x v="1"/>
    <n v="280"/>
    <n v="110"/>
    <n v="2.2000000000000002"/>
    <x v="0"/>
    <n v="4.5"/>
    <n v="0.05"/>
    <n v="0.05"/>
    <n v="8960"/>
    <n v="8512"/>
    <n v="70.400000000000006"/>
    <n v="425.6"/>
    <n v="426"/>
    <n v="3520"/>
    <n v="4140.3999999999996"/>
    <n v="0.486419172932331"/>
  </r>
  <r>
    <s v="ORD-1467"/>
    <d v="2026-05-20T11:00:00"/>
    <s v="P-002"/>
    <s v="BR-10"/>
    <x v="2"/>
    <n v="33"/>
    <x v="1"/>
    <n v="280"/>
    <n v="110"/>
    <n v="2.2000000000000002"/>
    <x v="0"/>
    <n v="4.5"/>
    <n v="0.05"/>
    <n v="0.05"/>
    <n v="9240"/>
    <n v="8778"/>
    <n v="72.600000000000009"/>
    <n v="438.90000000000003"/>
    <n v="439"/>
    <n v="3630"/>
    <n v="4270.1000000000004"/>
    <n v="0.48645477329687897"/>
  </r>
  <r>
    <s v="ORD-1471"/>
    <d v="2026-05-20T15:00:00"/>
    <s v="P-002"/>
    <s v="BR-10"/>
    <x v="2"/>
    <n v="188"/>
    <x v="1"/>
    <n v="280"/>
    <n v="110"/>
    <n v="2.2000000000000002"/>
    <x v="0"/>
    <n v="4.5"/>
    <n v="0.05"/>
    <n v="0.05"/>
    <n v="52640"/>
    <n v="50008"/>
    <n v="413.6"/>
    <n v="2500.4"/>
    <n v="2500"/>
    <n v="20680"/>
    <n v="24327.599999999999"/>
    <n v="0.48647416413373901"/>
  </r>
  <r>
    <s v="ORD-1475"/>
    <d v="2026-05-20T19:00:00"/>
    <s v="P-002"/>
    <s v="BR-10"/>
    <x v="1"/>
    <n v="64"/>
    <x v="1"/>
    <n v="280"/>
    <n v="110"/>
    <n v="2.2000000000000002"/>
    <x v="0"/>
    <n v="4.5"/>
    <n v="0.05"/>
    <n v="0.1"/>
    <n v="17920"/>
    <n v="16128"/>
    <n v="140.80000000000001"/>
    <n v="806.40000000000009"/>
    <n v="806"/>
    <n v="7040"/>
    <n v="7475.6"/>
    <n v="0.46351686507936501"/>
  </r>
  <r>
    <s v="ORD-1476"/>
    <d v="2026-05-20T20:00:00"/>
    <s v="P-002"/>
    <s v="BR-10"/>
    <x v="0"/>
    <n v="100"/>
    <x v="1"/>
    <n v="280"/>
    <n v="110"/>
    <n v="2.2000000000000002"/>
    <x v="0"/>
    <n v="4.5"/>
    <n v="0.05"/>
    <n v="0.02"/>
    <n v="28000"/>
    <n v="27440"/>
    <n v="220.00000000000003"/>
    <n v="1372"/>
    <n v="1372"/>
    <n v="11000"/>
    <n v="13696"/>
    <n v="0.49912536443148697"/>
  </r>
  <r>
    <s v="ORD-1481"/>
    <d v="2026-05-21T01:00:00"/>
    <s v="P-002"/>
    <s v="BR-10"/>
    <x v="0"/>
    <n v="199"/>
    <x v="1"/>
    <n v="280"/>
    <n v="110"/>
    <n v="2.2000000000000002"/>
    <x v="0"/>
    <n v="4.5"/>
    <n v="0.05"/>
    <n v="0.02"/>
    <n v="55720"/>
    <n v="54606"/>
    <n v="437.8"/>
    <n v="2730.3"/>
    <n v="2730"/>
    <n v="21890"/>
    <n v="27255.7"/>
    <n v="0.499133794821082"/>
  </r>
  <r>
    <s v="ORD-1483"/>
    <d v="2026-05-21T03:00:00"/>
    <s v="P-002"/>
    <s v="BR-10"/>
    <x v="1"/>
    <n v="60"/>
    <x v="1"/>
    <n v="280"/>
    <n v="110"/>
    <n v="2.2000000000000002"/>
    <x v="0"/>
    <n v="4.5"/>
    <n v="0.05"/>
    <n v="0.1"/>
    <n v="16800"/>
    <n v="15120"/>
    <n v="132"/>
    <n v="756"/>
    <n v="756"/>
    <n v="6600"/>
    <n v="7008"/>
    <n v="0.46349206349206401"/>
  </r>
  <r>
    <s v="ORD-1501"/>
    <d v="2026-05-21T21:00:00"/>
    <s v="P-002"/>
    <s v="BR-10"/>
    <x v="1"/>
    <n v="92"/>
    <x v="1"/>
    <n v="280"/>
    <n v="110"/>
    <n v="2.2000000000000002"/>
    <x v="0"/>
    <n v="4.5"/>
    <n v="0.05"/>
    <n v="0.1"/>
    <n v="25760"/>
    <n v="23184"/>
    <n v="202.4"/>
    <n v="1159.2"/>
    <n v="1159"/>
    <n v="10120"/>
    <n v="10745.8"/>
    <n v="0.46350069013112499"/>
  </r>
  <r>
    <s v="ORD-1510"/>
    <d v="2026-05-22T06:00:00"/>
    <s v="P-002"/>
    <s v="BR-10"/>
    <x v="1"/>
    <n v="124"/>
    <x v="1"/>
    <n v="280"/>
    <n v="110"/>
    <n v="2.2000000000000002"/>
    <x v="0"/>
    <n v="4.5"/>
    <n v="0.05"/>
    <n v="0.1"/>
    <n v="34720"/>
    <n v="31248"/>
    <n v="272.8"/>
    <n v="1562.4"/>
    <n v="1562"/>
    <n v="13640"/>
    <n v="14483.599999999999"/>
    <n v="0.46350486431131599"/>
  </r>
  <r>
    <s v="ORD-1513"/>
    <d v="2026-05-22T09:00:00"/>
    <s v="P-002"/>
    <s v="BR-10"/>
    <x v="0"/>
    <n v="57"/>
    <x v="1"/>
    <n v="280"/>
    <n v="110"/>
    <n v="2.2000000000000002"/>
    <x v="0"/>
    <n v="4.5"/>
    <n v="0.05"/>
    <n v="0.02"/>
    <n v="15960"/>
    <n v="15641"/>
    <n v="125.4"/>
    <n v="782.05000000000007"/>
    <n v="782"/>
    <n v="6270"/>
    <n v="7806.95"/>
    <n v="0.49913368710440498"/>
  </r>
  <r>
    <s v="ORD-1537"/>
    <d v="2026-05-23T09:00:00"/>
    <s v="P-002"/>
    <s v="BR-10"/>
    <x v="1"/>
    <n v="30"/>
    <x v="1"/>
    <n v="280"/>
    <n v="110"/>
    <n v="2.2000000000000002"/>
    <x v="0"/>
    <n v="4.5"/>
    <n v="0.05"/>
    <n v="0.1"/>
    <n v="8400"/>
    <n v="7560"/>
    <n v="66"/>
    <n v="378"/>
    <n v="378"/>
    <n v="3300"/>
    <n v="3504"/>
    <n v="0.46349206349206401"/>
  </r>
  <r>
    <s v="ORD-1544"/>
    <d v="2026-05-23T16:00:00"/>
    <s v="P-002"/>
    <s v="BR-10"/>
    <x v="1"/>
    <n v="107"/>
    <x v="1"/>
    <n v="280"/>
    <n v="110"/>
    <n v="2.2000000000000002"/>
    <x v="0"/>
    <n v="4.5"/>
    <n v="0.05"/>
    <n v="0.1"/>
    <n v="29960"/>
    <n v="26964"/>
    <n v="235.4"/>
    <n v="1348.2"/>
    <n v="1348"/>
    <n v="11770"/>
    <n v="12497.8"/>
    <n v="0.4634994807892"/>
  </r>
  <r>
    <s v="ORD-1570"/>
    <d v="2026-05-24T18:00:00"/>
    <s v="P-002"/>
    <s v="BR-10"/>
    <x v="2"/>
    <n v="10"/>
    <x v="1"/>
    <n v="280"/>
    <n v="110"/>
    <n v="2.2000000000000002"/>
    <x v="0"/>
    <n v="4.5"/>
    <n v="0.05"/>
    <n v="0.05"/>
    <n v="2800"/>
    <n v="2660"/>
    <n v="22"/>
    <n v="133"/>
    <n v="133"/>
    <n v="1100"/>
    <n v="1294"/>
    <n v="0.48646616541353399"/>
  </r>
  <r>
    <s v="ORD-1577"/>
    <d v="2026-05-25T01:00:00"/>
    <s v="P-002"/>
    <s v="BR-10"/>
    <x v="0"/>
    <n v="177"/>
    <x v="1"/>
    <n v="280"/>
    <n v="110"/>
    <n v="2.2000000000000002"/>
    <x v="0"/>
    <n v="4.5"/>
    <n v="0.05"/>
    <n v="0.02"/>
    <n v="49560"/>
    <n v="48569"/>
    <n v="389.40000000000003"/>
    <n v="2428.4500000000003"/>
    <n v="2428"/>
    <n v="19470"/>
    <n v="24242.55"/>
    <n v="0.499136280343429"/>
  </r>
  <r>
    <s v="ORD-1581"/>
    <d v="2026-05-25T05:00:00"/>
    <s v="P-002"/>
    <s v="BR-10"/>
    <x v="0"/>
    <n v="22"/>
    <x v="1"/>
    <n v="280"/>
    <n v="110"/>
    <n v="2.2000000000000002"/>
    <x v="0"/>
    <n v="4.5"/>
    <n v="0.05"/>
    <n v="0.02"/>
    <n v="6160"/>
    <n v="6037"/>
    <n v="48.400000000000006"/>
    <n v="301.85000000000002"/>
    <n v="302"/>
    <n v="2420"/>
    <n v="3013.15"/>
    <n v="0.49911379824416102"/>
  </r>
  <r>
    <s v="ORD-1586"/>
    <d v="2026-05-25T10:00:00"/>
    <s v="P-002"/>
    <s v="BR-10"/>
    <x v="1"/>
    <n v="155"/>
    <x v="1"/>
    <n v="280"/>
    <n v="110"/>
    <n v="2.2000000000000002"/>
    <x v="0"/>
    <n v="4.5"/>
    <n v="0.05"/>
    <n v="0.1"/>
    <n v="43400"/>
    <n v="39060"/>
    <n v="341"/>
    <n v="1953"/>
    <n v="1953"/>
    <n v="17050"/>
    <n v="18104"/>
    <n v="0.46349206349206401"/>
  </r>
  <r>
    <s v="ORD-1612"/>
    <d v="2026-05-26T12:00:00"/>
    <s v="P-002"/>
    <s v="BR-10"/>
    <x v="0"/>
    <n v="12"/>
    <x v="1"/>
    <n v="280"/>
    <n v="110"/>
    <n v="2.2000000000000002"/>
    <x v="0"/>
    <n v="4.5"/>
    <n v="0.05"/>
    <n v="0.02"/>
    <n v="3360"/>
    <n v="3293"/>
    <n v="26.400000000000002"/>
    <n v="164.65"/>
    <n v="165"/>
    <n v="1320"/>
    <n v="1643.35"/>
    <n v="0.49904342544792002"/>
  </r>
  <r>
    <s v="ORD-1613"/>
    <d v="2026-05-26T13:00:00"/>
    <s v="P-002"/>
    <s v="BR-10"/>
    <x v="0"/>
    <n v="166"/>
    <x v="1"/>
    <n v="280"/>
    <n v="110"/>
    <n v="2.2000000000000002"/>
    <x v="0"/>
    <n v="4.5"/>
    <n v="0.05"/>
    <n v="0.02"/>
    <n v="46480"/>
    <n v="45550"/>
    <n v="365.20000000000005"/>
    <n v="2277.5"/>
    <n v="2278"/>
    <n v="18260"/>
    <n v="22734.5"/>
    <n v="0.499110867178924"/>
  </r>
  <r>
    <s v="ORD-1620"/>
    <d v="2026-05-26T20:00:00"/>
    <s v="P-002"/>
    <s v="BR-10"/>
    <x v="1"/>
    <n v="116"/>
    <x v="1"/>
    <n v="280"/>
    <n v="110"/>
    <n v="2.2000000000000002"/>
    <x v="0"/>
    <n v="4.5"/>
    <n v="0.05"/>
    <n v="0.1"/>
    <n v="32480"/>
    <n v="29232"/>
    <n v="255.20000000000002"/>
    <n v="1461.6000000000001"/>
    <n v="1462"/>
    <n v="12760"/>
    <n v="13548.4"/>
    <n v="0.46347837985769003"/>
  </r>
  <r>
    <s v="ORD-1626"/>
    <d v="2026-05-27T02:00:00"/>
    <s v="P-002"/>
    <s v="BR-10"/>
    <x v="1"/>
    <n v="165"/>
    <x v="1"/>
    <n v="280"/>
    <n v="110"/>
    <n v="2.2000000000000002"/>
    <x v="0"/>
    <n v="4.5"/>
    <n v="0.05"/>
    <n v="0.1"/>
    <n v="46200"/>
    <n v="41580"/>
    <n v="363.00000000000006"/>
    <n v="2079"/>
    <n v="2079"/>
    <n v="18150"/>
    <n v="19272"/>
    <n v="0.46349206349206401"/>
  </r>
  <r>
    <s v="ORD-1634"/>
    <d v="2026-05-27T10:00:00"/>
    <s v="P-002"/>
    <s v="BR-10"/>
    <x v="2"/>
    <n v="111"/>
    <x v="1"/>
    <n v="280"/>
    <n v="110"/>
    <n v="2.2000000000000002"/>
    <x v="0"/>
    <n v="4.5"/>
    <n v="0.05"/>
    <n v="0.05"/>
    <n v="31080"/>
    <n v="29526"/>
    <n v="244.20000000000002"/>
    <n v="1476.3000000000002"/>
    <n v="1476"/>
    <n v="12210"/>
    <n v="14363.7"/>
    <n v="0.48647632595001"/>
  </r>
  <r>
    <s v="ORD-1640"/>
    <d v="2026-05-27T16:00:00"/>
    <s v="P-002"/>
    <s v="BR-10"/>
    <x v="0"/>
    <n v="38"/>
    <x v="1"/>
    <n v="280"/>
    <n v="110"/>
    <n v="2.2000000000000002"/>
    <x v="0"/>
    <n v="4.5"/>
    <n v="0.05"/>
    <n v="0.02"/>
    <n v="10640"/>
    <n v="10427"/>
    <n v="83.600000000000009"/>
    <n v="521.35"/>
    <n v="521"/>
    <n v="4180"/>
    <n v="5204.6499999999996"/>
    <n v="0.49915124196796801"/>
  </r>
  <r>
    <s v="ORD-1648"/>
    <d v="2026-05-28T00:00:00"/>
    <s v="P-002"/>
    <s v="BR-10"/>
    <x v="0"/>
    <n v="188"/>
    <x v="1"/>
    <n v="280"/>
    <n v="110"/>
    <n v="2.2000000000000002"/>
    <x v="0"/>
    <n v="4.5"/>
    <n v="0.05"/>
    <n v="0.02"/>
    <n v="52640"/>
    <n v="51587"/>
    <n v="413.6"/>
    <n v="2579.3500000000004"/>
    <n v="2579"/>
    <n v="20680"/>
    <n v="25748.65"/>
    <n v="0.49913059491732398"/>
  </r>
  <r>
    <s v="ORD-1657"/>
    <d v="2026-05-28T09:00:00"/>
    <s v="P-002"/>
    <s v="BR-10"/>
    <x v="2"/>
    <n v="116"/>
    <x v="1"/>
    <n v="280"/>
    <n v="110"/>
    <n v="2.2000000000000002"/>
    <x v="0"/>
    <n v="4.5"/>
    <n v="0.05"/>
    <n v="0.05"/>
    <n v="32480"/>
    <n v="30856"/>
    <n v="255.20000000000002"/>
    <n v="1542.8000000000002"/>
    <n v="1543"/>
    <n v="12760"/>
    <n v="15010.2"/>
    <n v="0.486459683691989"/>
  </r>
  <r>
    <s v="ORD-1662"/>
    <d v="2026-05-28T14:00:00"/>
    <s v="P-002"/>
    <s v="BR-10"/>
    <x v="2"/>
    <n v="46"/>
    <x v="1"/>
    <n v="280"/>
    <n v="110"/>
    <n v="2.2000000000000002"/>
    <x v="0"/>
    <n v="4.5"/>
    <n v="0.05"/>
    <n v="0.05"/>
    <n v="12880"/>
    <n v="12236"/>
    <n v="101.2"/>
    <n v="611.80000000000007"/>
    <n v="612"/>
    <n v="5060"/>
    <n v="5952.2"/>
    <n v="0.48644982020268102"/>
  </r>
  <r>
    <s v="ORD-1668"/>
    <d v="2026-05-28T20:00:00"/>
    <s v="P-002"/>
    <s v="BR-10"/>
    <x v="2"/>
    <n v="90"/>
    <x v="1"/>
    <n v="280"/>
    <n v="110"/>
    <n v="2.2000000000000002"/>
    <x v="0"/>
    <n v="4.5"/>
    <n v="0.05"/>
    <n v="0.05"/>
    <n v="25200"/>
    <n v="23940"/>
    <n v="198.00000000000003"/>
    <n v="1197"/>
    <n v="1197"/>
    <n v="9900"/>
    <n v="11646"/>
    <n v="0.48646616541353399"/>
  </r>
  <r>
    <s v="ORD-1669"/>
    <d v="2026-05-28T21:00:00"/>
    <s v="P-002"/>
    <s v="BR-10"/>
    <x v="2"/>
    <n v="138"/>
    <x v="1"/>
    <n v="280"/>
    <n v="110"/>
    <n v="2.2000000000000002"/>
    <x v="0"/>
    <n v="4.5"/>
    <n v="0.05"/>
    <n v="0.05"/>
    <n v="38640"/>
    <n v="36708"/>
    <n v="303.60000000000002"/>
    <n v="1835.4"/>
    <n v="1835"/>
    <n v="15180"/>
    <n v="17857.599999999999"/>
    <n v="0.48647706222076897"/>
  </r>
  <r>
    <s v="ORD-1676"/>
    <d v="2026-05-29T04:00:00"/>
    <s v="P-002"/>
    <s v="BR-10"/>
    <x v="0"/>
    <n v="45"/>
    <x v="1"/>
    <n v="280"/>
    <n v="110"/>
    <n v="2.2000000000000002"/>
    <x v="0"/>
    <n v="4.5"/>
    <n v="0.05"/>
    <n v="0.02"/>
    <n v="12600"/>
    <n v="12348"/>
    <n v="99.000000000000014"/>
    <n v="617.40000000000009"/>
    <n v="617"/>
    <n v="4950"/>
    <n v="6163.6"/>
    <n v="0.499157758341432"/>
  </r>
  <r>
    <s v="ORD-1681"/>
    <d v="2026-05-29T09:00:00"/>
    <s v="P-002"/>
    <s v="BR-10"/>
    <x v="0"/>
    <n v="155"/>
    <x v="1"/>
    <n v="280"/>
    <n v="110"/>
    <n v="2.2000000000000002"/>
    <x v="0"/>
    <n v="4.5"/>
    <n v="0.05"/>
    <n v="0.02"/>
    <n v="43400"/>
    <n v="42532"/>
    <n v="341"/>
    <n v="2126.6"/>
    <n v="2127"/>
    <n v="17050"/>
    <n v="21228.400000000001"/>
    <n v="0.49911595974795397"/>
  </r>
  <r>
    <s v="ORD-1684"/>
    <d v="2026-05-29T12:00:00"/>
    <s v="P-002"/>
    <s v="BR-10"/>
    <x v="1"/>
    <n v="162"/>
    <x v="1"/>
    <n v="280"/>
    <n v="110"/>
    <n v="2.2000000000000002"/>
    <x v="0"/>
    <n v="4.5"/>
    <n v="0.05"/>
    <n v="0.1"/>
    <n v="45360"/>
    <n v="40824"/>
    <n v="356.40000000000003"/>
    <n v="2041.2"/>
    <n v="2041"/>
    <n v="17820"/>
    <n v="18921.8"/>
    <n v="0.46349696257103701"/>
  </r>
  <r>
    <s v="ORD-1691"/>
    <d v="2026-05-29T19:00:00"/>
    <s v="P-002"/>
    <s v="BR-10"/>
    <x v="1"/>
    <n v="177"/>
    <x v="1"/>
    <n v="280"/>
    <n v="110"/>
    <n v="2.2000000000000002"/>
    <x v="0"/>
    <n v="4.5"/>
    <n v="0.05"/>
    <n v="0.1"/>
    <n v="49560"/>
    <n v="44604"/>
    <n v="389.40000000000003"/>
    <n v="2230.2000000000003"/>
    <n v="2230"/>
    <n v="19470"/>
    <n v="20673.8"/>
    <n v="0.46349654739485202"/>
  </r>
  <r>
    <s v="ORD-1694"/>
    <d v="2026-05-29T22:00:00"/>
    <s v="P-002"/>
    <s v="BR-10"/>
    <x v="1"/>
    <n v="145"/>
    <x v="1"/>
    <n v="280"/>
    <n v="110"/>
    <n v="2.2000000000000002"/>
    <x v="0"/>
    <n v="4.5"/>
    <n v="0.05"/>
    <n v="0.1"/>
    <n v="40600"/>
    <n v="36540"/>
    <n v="319"/>
    <n v="1827"/>
    <n v="1827"/>
    <n v="15950"/>
    <n v="16936"/>
    <n v="0.46349206349206401"/>
  </r>
  <r>
    <s v="ORD-1703"/>
    <d v="2026-05-30T07:00:00"/>
    <s v="P-002"/>
    <s v="BR-10"/>
    <x v="0"/>
    <n v="19"/>
    <x v="1"/>
    <n v="280"/>
    <n v="110"/>
    <n v="2.2000000000000002"/>
    <x v="0"/>
    <n v="4.5"/>
    <n v="0.05"/>
    <n v="0.02"/>
    <n v="5320"/>
    <n v="5214"/>
    <n v="41.800000000000004"/>
    <n v="260.7"/>
    <n v="261"/>
    <n v="2090"/>
    <n v="2602.3000000000002"/>
    <n v="0.49909858074414998"/>
  </r>
  <r>
    <s v="ORD-1709"/>
    <d v="2026-05-30T13:00:00"/>
    <s v="P-002"/>
    <s v="BR-10"/>
    <x v="2"/>
    <n v="27"/>
    <x v="1"/>
    <n v="280"/>
    <n v="110"/>
    <n v="2.2000000000000002"/>
    <x v="0"/>
    <n v="4.5"/>
    <n v="0.05"/>
    <n v="0.05"/>
    <n v="7560"/>
    <n v="7182"/>
    <n v="59.400000000000006"/>
    <n v="359.1"/>
    <n v="359"/>
    <n v="2970"/>
    <n v="3493.9"/>
    <n v="0.48648008911166801"/>
  </r>
  <r>
    <s v="ORD-1710"/>
    <d v="2026-05-30T14:00:00"/>
    <s v="P-002"/>
    <s v="BR-10"/>
    <x v="0"/>
    <n v="192"/>
    <x v="1"/>
    <n v="280"/>
    <n v="110"/>
    <n v="2.2000000000000002"/>
    <x v="0"/>
    <n v="4.5"/>
    <n v="0.05"/>
    <n v="0.02"/>
    <n v="53760"/>
    <n v="52685"/>
    <n v="422.40000000000003"/>
    <n v="2634.25"/>
    <n v="2634"/>
    <n v="21120"/>
    <n v="26296.75"/>
    <n v="0.49913163139413502"/>
  </r>
  <r>
    <s v="ORD-1722"/>
    <d v="2026-05-31T02:00:00"/>
    <s v="P-002"/>
    <s v="BR-10"/>
    <x v="0"/>
    <n v="56"/>
    <x v="1"/>
    <n v="280"/>
    <n v="110"/>
    <n v="2.2000000000000002"/>
    <x v="0"/>
    <n v="4.5"/>
    <n v="0.05"/>
    <n v="0.02"/>
    <n v="15680"/>
    <n v="15366"/>
    <n v="123.20000000000002"/>
    <n v="768.30000000000007"/>
    <n v="768"/>
    <n v="6160"/>
    <n v="7669.7"/>
    <n v="0.49913445268775197"/>
  </r>
  <r>
    <s v="ORD-1733"/>
    <d v="2026-05-31T13:00:00"/>
    <s v="P-002"/>
    <s v="BR-10"/>
    <x v="0"/>
    <n v="129"/>
    <x v="1"/>
    <n v="280"/>
    <n v="110"/>
    <n v="2.2000000000000002"/>
    <x v="0"/>
    <n v="4.5"/>
    <n v="0.05"/>
    <n v="0.02"/>
    <n v="36120"/>
    <n v="35398"/>
    <n v="283.8"/>
    <n v="1769.9"/>
    <n v="1770"/>
    <n v="14190"/>
    <n v="17668.099999999999"/>
    <n v="0.49912706932595102"/>
  </r>
  <r>
    <s v="ORD-1736"/>
    <d v="2026-05-31T16:00:00"/>
    <s v="P-002"/>
    <s v="BR-10"/>
    <x v="1"/>
    <n v="156"/>
    <x v="1"/>
    <n v="280"/>
    <n v="110"/>
    <n v="2.2000000000000002"/>
    <x v="0"/>
    <n v="4.5"/>
    <n v="0.05"/>
    <n v="0.1"/>
    <n v="43680"/>
    <n v="39312"/>
    <n v="343.20000000000005"/>
    <n v="1965.6000000000001"/>
    <n v="1966"/>
    <n v="17160"/>
    <n v="18220.400000000001"/>
    <n v="0.46348188848188898"/>
  </r>
  <r>
    <s v="ORD-1750"/>
    <d v="2026-06-01T06:00:00"/>
    <s v="P-002"/>
    <s v="BR-10"/>
    <x v="2"/>
    <n v="122"/>
    <x v="1"/>
    <n v="280"/>
    <n v="110"/>
    <n v="2.2000000000000002"/>
    <x v="0"/>
    <n v="4.5"/>
    <n v="0.05"/>
    <n v="0.05"/>
    <n v="34160"/>
    <n v="32452"/>
    <n v="268.40000000000003"/>
    <n v="1622.6000000000001"/>
    <n v="1623"/>
    <n v="13420"/>
    <n v="15786.400000000001"/>
    <n v="0.48645383951682503"/>
  </r>
  <r>
    <s v="ORD-1762"/>
    <d v="2026-06-01T18:00:00"/>
    <s v="P-002"/>
    <s v="BR-10"/>
    <x v="2"/>
    <n v="44"/>
    <x v="1"/>
    <n v="280"/>
    <n v="110"/>
    <n v="2.2000000000000002"/>
    <x v="0"/>
    <n v="4.5"/>
    <n v="0.05"/>
    <n v="0.05"/>
    <n v="12320"/>
    <n v="11704"/>
    <n v="96.800000000000011"/>
    <n v="585.20000000000005"/>
    <n v="585"/>
    <n v="4840"/>
    <n v="5693.8"/>
    <n v="0.48648325358851702"/>
  </r>
  <r>
    <s v="ORD-1777"/>
    <d v="2026-06-02T09:00:00"/>
    <s v="P-002"/>
    <s v="BR-10"/>
    <x v="1"/>
    <n v="17"/>
    <x v="1"/>
    <n v="280"/>
    <n v="110"/>
    <n v="2.2000000000000002"/>
    <x v="0"/>
    <n v="4.5"/>
    <n v="0.05"/>
    <n v="0.1"/>
    <n v="4760"/>
    <n v="4284"/>
    <n v="37.400000000000006"/>
    <n v="214.20000000000002"/>
    <n v="214"/>
    <n v="1870"/>
    <n v="1985.8000000000002"/>
    <n v="0.463538748832866"/>
  </r>
  <r>
    <s v="ORD-1789"/>
    <d v="2026-06-02T21:00:00"/>
    <s v="P-002"/>
    <s v="BR-10"/>
    <x v="0"/>
    <n v="123"/>
    <x v="1"/>
    <n v="280"/>
    <n v="110"/>
    <n v="2.2000000000000002"/>
    <x v="0"/>
    <n v="4.5"/>
    <n v="0.05"/>
    <n v="0.02"/>
    <n v="34440"/>
    <n v="33751"/>
    <n v="270.60000000000002"/>
    <n v="1687.5500000000002"/>
    <n v="1688"/>
    <n v="13530"/>
    <n v="16845.45"/>
    <n v="0.49910965601019203"/>
  </r>
  <r>
    <s v="ORD-1796"/>
    <d v="2026-06-03T04:00:00"/>
    <s v="P-002"/>
    <s v="BR-10"/>
    <x v="2"/>
    <n v="64"/>
    <x v="1"/>
    <n v="280"/>
    <n v="110"/>
    <n v="2.2000000000000002"/>
    <x v="0"/>
    <n v="4.5"/>
    <n v="0.05"/>
    <n v="0.05"/>
    <n v="17920"/>
    <n v="17024"/>
    <n v="140.80000000000001"/>
    <n v="851.2"/>
    <n v="851"/>
    <n v="7040"/>
    <n v="8281.7999999999993"/>
    <n v="0.48647791353383402"/>
  </r>
  <r>
    <s v="ORD-1798"/>
    <d v="2026-06-03T06:00:00"/>
    <s v="P-002"/>
    <s v="BR-10"/>
    <x v="1"/>
    <n v="64"/>
    <x v="1"/>
    <n v="280"/>
    <n v="110"/>
    <n v="2.2000000000000002"/>
    <x v="0"/>
    <n v="4.5"/>
    <n v="0.05"/>
    <n v="0.1"/>
    <n v="17920"/>
    <n v="16128"/>
    <n v="140.80000000000001"/>
    <n v="806.40000000000009"/>
    <n v="806"/>
    <n v="7040"/>
    <n v="7475.6"/>
    <n v="0.46351686507936501"/>
  </r>
  <r>
    <s v="ORD-1800"/>
    <d v="2026-06-03T08:00:00"/>
    <s v="P-002"/>
    <s v="BR-10"/>
    <x v="0"/>
    <n v="199"/>
    <x v="1"/>
    <n v="280"/>
    <n v="110"/>
    <n v="2.2000000000000002"/>
    <x v="0"/>
    <n v="4.5"/>
    <n v="0.05"/>
    <n v="0.02"/>
    <n v="55720"/>
    <n v="54606"/>
    <n v="437.8"/>
    <n v="2730.3"/>
    <n v="2730"/>
    <n v="21890"/>
    <n v="27255.7"/>
    <n v="0.499133794821082"/>
  </r>
  <r>
    <s v="ORD-1808"/>
    <d v="2026-06-03T16:00:00"/>
    <s v="P-002"/>
    <s v="BR-10"/>
    <x v="2"/>
    <n v="183"/>
    <x v="1"/>
    <n v="280"/>
    <n v="110"/>
    <n v="2.2000000000000002"/>
    <x v="0"/>
    <n v="4.5"/>
    <n v="0.05"/>
    <n v="0.05"/>
    <n v="51240"/>
    <n v="48678"/>
    <n v="402.6"/>
    <n v="2433.9"/>
    <n v="2434"/>
    <n v="20130"/>
    <n v="23680.1"/>
    <n v="0.486464111097416"/>
  </r>
  <r>
    <s v="ORD-1811"/>
    <d v="2026-06-03T19:00:00"/>
    <s v="P-002"/>
    <s v="BR-10"/>
    <x v="2"/>
    <n v="16"/>
    <x v="1"/>
    <n v="280"/>
    <n v="110"/>
    <n v="2.2000000000000002"/>
    <x v="0"/>
    <n v="4.5"/>
    <n v="0.05"/>
    <n v="0.05"/>
    <n v="4480"/>
    <n v="4256"/>
    <n v="35.200000000000003"/>
    <n v="212.8"/>
    <n v="213"/>
    <n v="1760"/>
    <n v="2070.1999999999998"/>
    <n v="0.486419172932331"/>
  </r>
  <r>
    <s v="ORD-1813"/>
    <d v="2026-06-03T21:00:00"/>
    <s v="P-002"/>
    <s v="BR-10"/>
    <x v="0"/>
    <n v="24"/>
    <x v="1"/>
    <n v="280"/>
    <n v="110"/>
    <n v="2.2000000000000002"/>
    <x v="0"/>
    <n v="4.5"/>
    <n v="0.05"/>
    <n v="0.02"/>
    <n v="6720"/>
    <n v="6586"/>
    <n v="52.800000000000004"/>
    <n v="329.3"/>
    <n v="329"/>
    <n v="2640"/>
    <n v="3287.7"/>
    <n v="0.49919526267840902"/>
  </r>
  <r>
    <s v="ORD-1815"/>
    <d v="2026-06-03T23:00:00"/>
    <s v="P-002"/>
    <s v="BR-10"/>
    <x v="1"/>
    <n v="11"/>
    <x v="1"/>
    <n v="280"/>
    <n v="110"/>
    <n v="2.2000000000000002"/>
    <x v="0"/>
    <n v="4.5"/>
    <n v="0.05"/>
    <n v="0.1"/>
    <n v="3080"/>
    <n v="2772"/>
    <n v="24.200000000000003"/>
    <n v="138.6"/>
    <n v="139"/>
    <n v="1210"/>
    <n v="1284.4000000000001"/>
    <n v="0.46334776334776301"/>
  </r>
  <r>
    <s v="ORD-1827"/>
    <d v="2026-06-04T11:00:00"/>
    <s v="P-002"/>
    <s v="BR-10"/>
    <x v="2"/>
    <n v="105"/>
    <x v="1"/>
    <n v="280"/>
    <n v="110"/>
    <n v="2.2000000000000002"/>
    <x v="0"/>
    <n v="4.5"/>
    <n v="0.05"/>
    <n v="0.05"/>
    <n v="29400"/>
    <n v="27930"/>
    <n v="231.00000000000003"/>
    <n v="1396.5"/>
    <n v="1396"/>
    <n v="11550"/>
    <n v="13587.5"/>
    <n v="0.48648406731113503"/>
  </r>
  <r>
    <s v="ORD-1834"/>
    <d v="2026-06-04T18:00:00"/>
    <s v="P-002"/>
    <s v="BR-10"/>
    <x v="0"/>
    <n v="136"/>
    <x v="1"/>
    <n v="280"/>
    <n v="110"/>
    <n v="2.2000000000000002"/>
    <x v="0"/>
    <n v="4.5"/>
    <n v="0.05"/>
    <n v="0.02"/>
    <n v="38080"/>
    <n v="37318"/>
    <n v="299.20000000000005"/>
    <n v="1865.9"/>
    <n v="1866"/>
    <n v="14960"/>
    <n v="18626.099999999999"/>
    <n v="0.49911838790932"/>
  </r>
  <r>
    <s v="ORD-1836"/>
    <d v="2026-06-04T20:00:00"/>
    <s v="P-002"/>
    <s v="BR-10"/>
    <x v="1"/>
    <n v="45"/>
    <x v="1"/>
    <n v="280"/>
    <n v="110"/>
    <n v="2.2000000000000002"/>
    <x v="0"/>
    <n v="4.5"/>
    <n v="0.05"/>
    <n v="0.1"/>
    <n v="12600"/>
    <n v="11340"/>
    <n v="99.000000000000014"/>
    <n v="567"/>
    <n v="567"/>
    <n v="4950"/>
    <n v="5256"/>
    <n v="0.46349206349206401"/>
  </r>
  <r>
    <s v="ORD-1837"/>
    <d v="2026-06-04T21:00:00"/>
    <s v="P-002"/>
    <s v="BR-10"/>
    <x v="0"/>
    <n v="54"/>
    <x v="1"/>
    <n v="280"/>
    <n v="110"/>
    <n v="2.2000000000000002"/>
    <x v="0"/>
    <n v="4.5"/>
    <n v="0.05"/>
    <n v="0.02"/>
    <n v="15120"/>
    <n v="14818"/>
    <n v="118.80000000000001"/>
    <n v="740.90000000000009"/>
    <n v="741"/>
    <n v="5940"/>
    <n v="7396.1"/>
    <n v="0.49912943717100799"/>
  </r>
  <r>
    <s v="ORD-1840"/>
    <d v="2026-06-05T00:00:00"/>
    <s v="P-002"/>
    <s v="BR-10"/>
    <x v="2"/>
    <n v="103"/>
    <x v="1"/>
    <n v="280"/>
    <n v="110"/>
    <n v="2.2000000000000002"/>
    <x v="0"/>
    <n v="4.5"/>
    <n v="0.05"/>
    <n v="0.05"/>
    <n v="28840"/>
    <n v="27398"/>
    <n v="226.60000000000002"/>
    <n v="1369.9"/>
    <n v="1370"/>
    <n v="11330"/>
    <n v="13328.1"/>
    <n v="0.48646251551208097"/>
  </r>
  <r>
    <s v="ORD-1847"/>
    <d v="2026-06-05T07:00:00"/>
    <s v="P-002"/>
    <s v="BR-10"/>
    <x v="0"/>
    <n v="185"/>
    <x v="1"/>
    <n v="280"/>
    <n v="110"/>
    <n v="2.2000000000000002"/>
    <x v="0"/>
    <n v="4.5"/>
    <n v="0.05"/>
    <n v="0.02"/>
    <n v="51800"/>
    <n v="50764"/>
    <n v="407.00000000000006"/>
    <n v="2538.2000000000003"/>
    <n v="2538"/>
    <n v="20350"/>
    <n v="25337.8"/>
    <n v="0.49912930423134499"/>
  </r>
  <r>
    <s v="ORD-1866"/>
    <d v="2026-06-06T02:00:00"/>
    <s v="P-002"/>
    <s v="BR-10"/>
    <x v="1"/>
    <n v="130"/>
    <x v="1"/>
    <n v="280"/>
    <n v="110"/>
    <n v="2.2000000000000002"/>
    <x v="0"/>
    <n v="4.5"/>
    <n v="0.05"/>
    <n v="0.1"/>
    <n v="36400"/>
    <n v="32760"/>
    <n v="286"/>
    <n v="1638"/>
    <n v="1638"/>
    <n v="14300"/>
    <n v="15184"/>
    <n v="0.46349206349206401"/>
  </r>
  <r>
    <s v="ORD-1867"/>
    <d v="2026-06-06T03:00:00"/>
    <s v="P-002"/>
    <s v="BR-10"/>
    <x v="0"/>
    <n v="99"/>
    <x v="1"/>
    <n v="280"/>
    <n v="110"/>
    <n v="2.2000000000000002"/>
    <x v="0"/>
    <n v="4.5"/>
    <n v="0.05"/>
    <n v="0.02"/>
    <n v="27720"/>
    <n v="27166"/>
    <n v="217.8"/>
    <n v="1358.3000000000002"/>
    <n v="1358"/>
    <n v="10890"/>
    <n v="13559.7"/>
    <n v="0.49914231024074202"/>
  </r>
  <r>
    <s v="ORD-1888"/>
    <d v="2026-06-07T00:00:00"/>
    <s v="P-002"/>
    <s v="BR-10"/>
    <x v="2"/>
    <n v="122"/>
    <x v="1"/>
    <n v="280"/>
    <n v="110"/>
    <n v="2.2000000000000002"/>
    <x v="0"/>
    <n v="4.5"/>
    <n v="0.05"/>
    <n v="0.05"/>
    <n v="34160"/>
    <n v="32452"/>
    <n v="268.40000000000003"/>
    <n v="1622.6000000000001"/>
    <n v="1623"/>
    <n v="13420"/>
    <n v="15786.400000000001"/>
    <n v="0.48645383951682503"/>
  </r>
  <r>
    <s v="ORD-1890"/>
    <d v="2026-06-07T02:00:00"/>
    <s v="P-002"/>
    <s v="BR-10"/>
    <x v="0"/>
    <n v="178"/>
    <x v="1"/>
    <n v="280"/>
    <n v="110"/>
    <n v="2.2000000000000002"/>
    <x v="0"/>
    <n v="4.5"/>
    <n v="0.05"/>
    <n v="0.02"/>
    <n v="49840"/>
    <n v="48843"/>
    <n v="391.6"/>
    <n v="2442.15"/>
    <n v="2442"/>
    <n v="19580"/>
    <n v="24378.85"/>
    <n v="0.49912679401347199"/>
  </r>
  <r>
    <s v="ORD-1920"/>
    <d v="2026-06-08T08:00:00"/>
    <s v="P-002"/>
    <s v="BR-10"/>
    <x v="2"/>
    <n v="38"/>
    <x v="1"/>
    <n v="280"/>
    <n v="110"/>
    <n v="2.2000000000000002"/>
    <x v="0"/>
    <n v="4.5"/>
    <n v="0.05"/>
    <n v="0.05"/>
    <n v="10640"/>
    <n v="10108"/>
    <n v="83.600000000000009"/>
    <n v="505.40000000000003"/>
    <n v="505"/>
    <n v="4180"/>
    <n v="4917.6000000000004"/>
    <n v="0.48650573802928399"/>
  </r>
  <r>
    <s v="ORD-1922"/>
    <d v="2026-06-08T10:00:00"/>
    <s v="P-002"/>
    <s v="BR-10"/>
    <x v="2"/>
    <n v="73"/>
    <x v="1"/>
    <n v="280"/>
    <n v="110"/>
    <n v="2.2000000000000002"/>
    <x v="0"/>
    <n v="4.5"/>
    <n v="0.05"/>
    <n v="0.05"/>
    <n v="20440"/>
    <n v="19418"/>
    <n v="160.60000000000002"/>
    <n v="970.90000000000009"/>
    <n v="971"/>
    <n v="8030"/>
    <n v="9446.1"/>
    <n v="0.48646101555257998"/>
  </r>
  <r>
    <s v="ORD-1924"/>
    <d v="2026-06-08T12:00:00"/>
    <s v="P-002"/>
    <s v="BR-10"/>
    <x v="0"/>
    <n v="79"/>
    <x v="1"/>
    <n v="280"/>
    <n v="110"/>
    <n v="2.2000000000000002"/>
    <x v="0"/>
    <n v="4.5"/>
    <n v="0.05"/>
    <n v="0.02"/>
    <n v="22120"/>
    <n v="21678"/>
    <n v="173.8"/>
    <n v="1083.9000000000001"/>
    <n v="1084"/>
    <n v="8690"/>
    <n v="10820.1"/>
    <n v="0.49912814835316899"/>
  </r>
  <r>
    <s v="ORD-1938"/>
    <d v="2026-06-09T02:00:00"/>
    <s v="P-002"/>
    <s v="BR-10"/>
    <x v="0"/>
    <n v="196"/>
    <x v="1"/>
    <n v="280"/>
    <n v="110"/>
    <n v="2.2000000000000002"/>
    <x v="0"/>
    <n v="4.5"/>
    <n v="0.05"/>
    <n v="0.02"/>
    <n v="54880"/>
    <n v="53782"/>
    <n v="431.20000000000005"/>
    <n v="2689.1000000000004"/>
    <n v="2689"/>
    <n v="21560"/>
    <n v="26843.9"/>
    <n v="0.499124242311554"/>
  </r>
  <r>
    <s v="ORD-1941"/>
    <d v="2026-06-09T05:00:00"/>
    <s v="P-002"/>
    <s v="BR-10"/>
    <x v="2"/>
    <n v="122"/>
    <x v="1"/>
    <n v="280"/>
    <n v="110"/>
    <n v="2.2000000000000002"/>
    <x v="0"/>
    <n v="4.5"/>
    <n v="0.05"/>
    <n v="0.05"/>
    <n v="34160"/>
    <n v="32452"/>
    <n v="268.40000000000003"/>
    <n v="1622.6000000000001"/>
    <n v="1623"/>
    <n v="13420"/>
    <n v="15786.400000000001"/>
    <n v="0.48645383951682503"/>
  </r>
  <r>
    <s v="ORD-1943"/>
    <d v="2026-06-09T07:00:00"/>
    <s v="P-002"/>
    <s v="BR-10"/>
    <x v="0"/>
    <n v="23"/>
    <x v="1"/>
    <n v="280"/>
    <n v="110"/>
    <n v="2.2000000000000002"/>
    <x v="0"/>
    <n v="4.5"/>
    <n v="0.05"/>
    <n v="0.02"/>
    <n v="6440"/>
    <n v="6311"/>
    <n v="50.6"/>
    <n v="315.55"/>
    <n v="316"/>
    <n v="2530"/>
    <n v="3149.45"/>
    <n v="0.499041356361908"/>
  </r>
  <r>
    <s v="ORD-1952"/>
    <d v="2026-06-09T16:00:00"/>
    <s v="P-002"/>
    <s v="BR-10"/>
    <x v="1"/>
    <n v="11"/>
    <x v="1"/>
    <n v="280"/>
    <n v="110"/>
    <n v="2.2000000000000002"/>
    <x v="0"/>
    <n v="4.5"/>
    <n v="0.05"/>
    <n v="0.1"/>
    <n v="3080"/>
    <n v="2772"/>
    <n v="24.200000000000003"/>
    <n v="138.6"/>
    <n v="139"/>
    <n v="1210"/>
    <n v="1284.4000000000001"/>
    <n v="0.46334776334776301"/>
  </r>
  <r>
    <s v="ORD-1963"/>
    <d v="2026-06-10T03:00:00"/>
    <s v="P-002"/>
    <s v="BR-10"/>
    <x v="1"/>
    <n v="171"/>
    <x v="1"/>
    <n v="280"/>
    <n v="110"/>
    <n v="2.2000000000000002"/>
    <x v="0"/>
    <n v="4.5"/>
    <n v="0.05"/>
    <n v="0.1"/>
    <n v="47880"/>
    <n v="43092"/>
    <n v="376.20000000000005"/>
    <n v="2154.6"/>
    <n v="2155"/>
    <n v="18810"/>
    <n v="19972.400000000001"/>
    <n v="0.46348278102664098"/>
  </r>
  <r>
    <s v="ORD-1965"/>
    <d v="2026-06-10T05:00:00"/>
    <s v="P-002"/>
    <s v="BR-10"/>
    <x v="0"/>
    <n v="30"/>
    <x v="1"/>
    <n v="280"/>
    <n v="110"/>
    <n v="2.2000000000000002"/>
    <x v="0"/>
    <n v="4.5"/>
    <n v="0.05"/>
    <n v="0.02"/>
    <n v="8400"/>
    <n v="8232"/>
    <n v="66"/>
    <n v="411.6"/>
    <n v="412"/>
    <n v="3300"/>
    <n v="4108.3999999999996"/>
    <n v="0.49907677356656899"/>
  </r>
  <r>
    <s v="ORD-1969"/>
    <d v="2026-06-10T09:00:00"/>
    <s v="P-002"/>
    <s v="BR-10"/>
    <x v="2"/>
    <n v="31"/>
    <x v="1"/>
    <n v="280"/>
    <n v="110"/>
    <n v="2.2000000000000002"/>
    <x v="0"/>
    <n v="4.5"/>
    <n v="0.05"/>
    <n v="0.05"/>
    <n v="8680"/>
    <n v="8246"/>
    <n v="68.2"/>
    <n v="412.3"/>
    <n v="412"/>
    <n v="3410"/>
    <n v="4011.7"/>
    <n v="0.48650254668930398"/>
  </r>
  <r>
    <s v="ORD-1970"/>
    <d v="2026-06-10T10:00:00"/>
    <s v="P-002"/>
    <s v="BR-10"/>
    <x v="2"/>
    <n v="140"/>
    <x v="1"/>
    <n v="280"/>
    <n v="110"/>
    <n v="2.2000000000000002"/>
    <x v="0"/>
    <n v="4.5"/>
    <n v="0.05"/>
    <n v="0.05"/>
    <n v="39200"/>
    <n v="37240"/>
    <n v="308"/>
    <n v="1862"/>
    <n v="1862"/>
    <n v="15400"/>
    <n v="18116"/>
    <n v="0.48646616541353399"/>
  </r>
  <r>
    <s v="ORD-1971"/>
    <d v="2026-06-10T11:00:00"/>
    <s v="P-002"/>
    <s v="BR-10"/>
    <x v="1"/>
    <n v="90"/>
    <x v="1"/>
    <n v="280"/>
    <n v="110"/>
    <n v="2.2000000000000002"/>
    <x v="0"/>
    <n v="4.5"/>
    <n v="0.05"/>
    <n v="0.1"/>
    <n v="25200"/>
    <n v="22680"/>
    <n v="198.00000000000003"/>
    <n v="1134"/>
    <n v="1134"/>
    <n v="9900"/>
    <n v="10512"/>
    <n v="0.46349206349206401"/>
  </r>
  <r>
    <s v="ORD-1982"/>
    <d v="2026-06-10T22:00:00"/>
    <s v="P-002"/>
    <s v="BR-10"/>
    <x v="2"/>
    <n v="36"/>
    <x v="1"/>
    <n v="280"/>
    <n v="110"/>
    <n v="2.2000000000000002"/>
    <x v="0"/>
    <n v="4.5"/>
    <n v="0.05"/>
    <n v="0.05"/>
    <n v="10080"/>
    <n v="9576"/>
    <n v="79.2"/>
    <n v="478.8"/>
    <n v="479"/>
    <n v="3960"/>
    <n v="4658.2"/>
    <n v="0.48644527986633201"/>
  </r>
  <r>
    <s v="ORD-1995"/>
    <d v="2026-06-11T11:00:00"/>
    <s v="P-002"/>
    <s v="BR-10"/>
    <x v="2"/>
    <n v="39"/>
    <x v="1"/>
    <n v="280"/>
    <n v="110"/>
    <n v="2.2000000000000002"/>
    <x v="0"/>
    <n v="4.5"/>
    <n v="0.05"/>
    <n v="0.05"/>
    <n v="10920"/>
    <n v="10374"/>
    <n v="85.800000000000011"/>
    <n v="518.70000000000005"/>
    <n v="519"/>
    <n v="4290"/>
    <n v="5046.3"/>
    <n v="0.486437246963563"/>
  </r>
  <r>
    <s v="ORD-1010"/>
    <d v="2026-05-01T10:00:00"/>
    <s v="P-001"/>
    <s v="BR-20"/>
    <x v="1"/>
    <n v="95"/>
    <x v="2"/>
    <n v="450"/>
    <n v="180"/>
    <n v="3.5"/>
    <x v="2"/>
    <n v="8"/>
    <n v="0.12"/>
    <n v="0.1"/>
    <n v="42750"/>
    <n v="38475"/>
    <n v="332.5"/>
    <n v="4617"/>
    <n v="4617"/>
    <n v="17100"/>
    <n v="12141"/>
    <n v="0.31555555555555598"/>
  </r>
  <r>
    <s v="ORD-1043"/>
    <d v="2026-05-02T19:00:00"/>
    <s v="P-001"/>
    <s v="BR-20"/>
    <x v="2"/>
    <n v="138"/>
    <x v="2"/>
    <n v="450"/>
    <n v="180"/>
    <n v="3.5"/>
    <x v="2"/>
    <n v="8"/>
    <n v="0.12"/>
    <n v="0.05"/>
    <n v="62100"/>
    <n v="58995"/>
    <n v="483"/>
    <n v="7079.4"/>
    <n v="7079"/>
    <n v="24840"/>
    <n v="19996.599999999999"/>
    <n v="0.33895414865666601"/>
  </r>
  <r>
    <s v="ORD-1065"/>
    <d v="2026-05-03T17:00:00"/>
    <s v="P-001"/>
    <s v="BR-20"/>
    <x v="0"/>
    <n v="60"/>
    <x v="2"/>
    <n v="450"/>
    <n v="180"/>
    <n v="3.5"/>
    <x v="2"/>
    <n v="8"/>
    <n v="0.12"/>
    <n v="0.02"/>
    <n v="27000"/>
    <n v="26460"/>
    <n v="210"/>
    <n v="3175.2"/>
    <n v="3175"/>
    <n v="10800"/>
    <n v="9309.7999999999993"/>
    <n v="0.35184429327286498"/>
  </r>
  <r>
    <s v="ORD-1079"/>
    <d v="2026-05-04T07:00:00"/>
    <s v="P-001"/>
    <s v="BR-20"/>
    <x v="2"/>
    <n v="190"/>
    <x v="2"/>
    <n v="450"/>
    <n v="180"/>
    <n v="3.5"/>
    <x v="2"/>
    <n v="8"/>
    <n v="0.12"/>
    <n v="0.05"/>
    <n v="85500"/>
    <n v="81225"/>
    <n v="665"/>
    <n v="9747"/>
    <n v="9747"/>
    <n v="34200"/>
    <n v="27531"/>
    <n v="0.338947368421053"/>
  </r>
  <r>
    <s v="ORD-1083"/>
    <d v="2026-05-04T11:00:00"/>
    <s v="P-001"/>
    <s v="BR-20"/>
    <x v="1"/>
    <n v="167"/>
    <x v="2"/>
    <n v="450"/>
    <n v="180"/>
    <n v="3.5"/>
    <x v="2"/>
    <n v="8"/>
    <n v="0.12"/>
    <n v="0.1"/>
    <n v="75150"/>
    <n v="67635"/>
    <n v="584.5"/>
    <n v="8116.2"/>
    <n v="8116"/>
    <n v="30060"/>
    <n v="21342.800000000003"/>
    <n v="0.31555851260442103"/>
  </r>
  <r>
    <s v="ORD-1084"/>
    <d v="2026-05-04T12:00:00"/>
    <s v="P-001"/>
    <s v="BR-20"/>
    <x v="2"/>
    <n v="182"/>
    <x v="2"/>
    <n v="450"/>
    <n v="180"/>
    <n v="3.5"/>
    <x v="2"/>
    <n v="8"/>
    <n v="0.12"/>
    <n v="0.05"/>
    <n v="81900"/>
    <n v="77805"/>
    <n v="637"/>
    <n v="9336.6"/>
    <n v="9337"/>
    <n v="32760"/>
    <n v="26371.4"/>
    <n v="0.33894222736328"/>
  </r>
  <r>
    <s v="ORD-1092"/>
    <d v="2026-05-04T20:00:00"/>
    <s v="P-001"/>
    <s v="BR-20"/>
    <x v="2"/>
    <n v="152"/>
    <x v="2"/>
    <n v="450"/>
    <n v="180"/>
    <n v="3.5"/>
    <x v="2"/>
    <n v="8"/>
    <n v="0.12"/>
    <n v="0.05"/>
    <n v="68400"/>
    <n v="64980"/>
    <n v="532"/>
    <n v="7797.5999999999995"/>
    <n v="7798"/>
    <n v="27360"/>
    <n v="22024.400000000001"/>
    <n v="0.338941212680825"/>
  </r>
  <r>
    <s v="ORD-1103"/>
    <d v="2026-05-05T07:00:00"/>
    <s v="P-001"/>
    <s v="BR-20"/>
    <x v="1"/>
    <n v="155"/>
    <x v="2"/>
    <n v="450"/>
    <n v="180"/>
    <n v="3.5"/>
    <x v="2"/>
    <n v="8"/>
    <n v="0.12"/>
    <n v="0.1"/>
    <n v="69750"/>
    <n v="62775"/>
    <n v="542.5"/>
    <n v="7533"/>
    <n v="7533"/>
    <n v="27900"/>
    <n v="19809"/>
    <n v="0.31555555555555598"/>
  </r>
  <r>
    <s v="ORD-1109"/>
    <d v="2026-05-05T13:00:00"/>
    <s v="P-001"/>
    <s v="BR-20"/>
    <x v="1"/>
    <n v="46"/>
    <x v="2"/>
    <n v="450"/>
    <n v="180"/>
    <n v="3.5"/>
    <x v="2"/>
    <n v="8"/>
    <n v="0.12"/>
    <n v="0.1"/>
    <n v="20700"/>
    <n v="18630"/>
    <n v="161"/>
    <n v="2235.6"/>
    <n v="2236"/>
    <n v="8280"/>
    <n v="5878.4"/>
    <n v="0.315534084809447"/>
  </r>
  <r>
    <s v="ORD-1110"/>
    <d v="2026-05-05T14:00:00"/>
    <s v="P-001"/>
    <s v="BR-20"/>
    <x v="0"/>
    <n v="173"/>
    <x v="2"/>
    <n v="450"/>
    <n v="180"/>
    <n v="3.5"/>
    <x v="2"/>
    <n v="8"/>
    <n v="0.12"/>
    <n v="0.02"/>
    <n v="77850"/>
    <n v="76293"/>
    <n v="605.5"/>
    <n v="9155.16"/>
    <n v="9155"/>
    <n v="31140"/>
    <n v="26842.839999999997"/>
    <n v="0.35183883187186199"/>
  </r>
  <r>
    <s v="ORD-1133"/>
    <d v="2026-05-06T13:00:00"/>
    <s v="P-001"/>
    <s v="BR-20"/>
    <x v="0"/>
    <n v="112"/>
    <x v="2"/>
    <n v="450"/>
    <n v="180"/>
    <n v="3.5"/>
    <x v="2"/>
    <n v="8"/>
    <n v="0.12"/>
    <n v="0.02"/>
    <n v="50400"/>
    <n v="49392"/>
    <n v="392"/>
    <n v="5927.04"/>
    <n v="5927"/>
    <n v="20160"/>
    <n v="17377.96"/>
    <n v="0.35183754454162602"/>
  </r>
  <r>
    <s v="ORD-1154"/>
    <d v="2026-05-07T10:00:00"/>
    <s v="P-001"/>
    <s v="BR-20"/>
    <x v="2"/>
    <n v="86"/>
    <x v="2"/>
    <n v="450"/>
    <n v="180"/>
    <n v="3.5"/>
    <x v="2"/>
    <n v="8"/>
    <n v="0.12"/>
    <n v="0.05"/>
    <n v="38700"/>
    <n v="36765"/>
    <n v="301"/>
    <n v="4411.8"/>
    <n v="4412"/>
    <n v="15480"/>
    <n v="12461.2"/>
    <n v="0.338941928464572"/>
  </r>
  <r>
    <s v="ORD-1164"/>
    <d v="2026-05-07T20:00:00"/>
    <s v="P-001"/>
    <s v="BR-20"/>
    <x v="2"/>
    <n v="19"/>
    <x v="2"/>
    <n v="450"/>
    <n v="180"/>
    <n v="3.5"/>
    <x v="2"/>
    <n v="8"/>
    <n v="0.12"/>
    <n v="0.05"/>
    <n v="8550"/>
    <n v="8122"/>
    <n v="66.5"/>
    <n v="974.64"/>
    <n v="975"/>
    <n v="3420"/>
    <n v="2752.3599999999997"/>
    <n v="0.33887712386111801"/>
  </r>
  <r>
    <s v="ORD-1165"/>
    <d v="2026-05-07T21:00:00"/>
    <s v="P-001"/>
    <s v="BR-20"/>
    <x v="2"/>
    <n v="24"/>
    <x v="2"/>
    <n v="450"/>
    <n v="180"/>
    <n v="3.5"/>
    <x v="2"/>
    <n v="8"/>
    <n v="0.12"/>
    <n v="0.05"/>
    <n v="10800"/>
    <n v="10260"/>
    <n v="84"/>
    <n v="1231.2"/>
    <n v="1231"/>
    <n v="4320"/>
    <n v="3477.8"/>
    <n v="0.33896686159844103"/>
  </r>
  <r>
    <s v="ORD-1199"/>
    <d v="2026-05-09T07:00:00"/>
    <s v="P-001"/>
    <s v="BR-20"/>
    <x v="2"/>
    <n v="89"/>
    <x v="2"/>
    <n v="450"/>
    <n v="180"/>
    <n v="3.5"/>
    <x v="2"/>
    <n v="8"/>
    <n v="0.12"/>
    <n v="0.05"/>
    <n v="40050"/>
    <n v="38048"/>
    <n v="311.5"/>
    <n v="4565.76"/>
    <n v="4566"/>
    <n v="16020"/>
    <n v="12896.239999999998"/>
    <n v="0.338946593776283"/>
  </r>
  <r>
    <s v="ORD-1203"/>
    <d v="2026-05-09T11:00:00"/>
    <s v="P-001"/>
    <s v="BR-20"/>
    <x v="0"/>
    <n v="166"/>
    <x v="2"/>
    <n v="450"/>
    <n v="180"/>
    <n v="3.5"/>
    <x v="2"/>
    <n v="8"/>
    <n v="0.12"/>
    <n v="0.02"/>
    <n v="74700"/>
    <n v="73206"/>
    <n v="581"/>
    <n v="8784.7199999999993"/>
    <n v="8785"/>
    <n v="29880"/>
    <n v="25756.28"/>
    <n v="0.35183290987077598"/>
  </r>
  <r>
    <s v="ORD-1212"/>
    <d v="2026-05-09T20:00:00"/>
    <s v="P-001"/>
    <s v="BR-20"/>
    <x v="1"/>
    <n v="95"/>
    <x v="2"/>
    <n v="450"/>
    <n v="180"/>
    <n v="3.5"/>
    <x v="2"/>
    <n v="8"/>
    <n v="0.12"/>
    <n v="0.1"/>
    <n v="42750"/>
    <n v="38475"/>
    <n v="332.5"/>
    <n v="4617"/>
    <n v="4617"/>
    <n v="17100"/>
    <n v="12141"/>
    <n v="0.31555555555555598"/>
  </r>
  <r>
    <s v="ORD-1218"/>
    <d v="2026-05-10T02:00:00"/>
    <s v="P-001"/>
    <s v="BR-20"/>
    <x v="2"/>
    <n v="165"/>
    <x v="2"/>
    <n v="450"/>
    <n v="180"/>
    <n v="3.5"/>
    <x v="2"/>
    <n v="8"/>
    <n v="0.12"/>
    <n v="0.05"/>
    <n v="74250"/>
    <n v="70538"/>
    <n v="577.5"/>
    <n v="8464.56"/>
    <n v="8465"/>
    <n v="29700"/>
    <n v="23908.440000000002"/>
    <n v="0.33894411522867102"/>
  </r>
  <r>
    <s v="ORD-1224"/>
    <d v="2026-05-10T08:00:00"/>
    <s v="P-001"/>
    <s v="BR-20"/>
    <x v="2"/>
    <n v="54"/>
    <x v="2"/>
    <n v="450"/>
    <n v="180"/>
    <n v="3.5"/>
    <x v="2"/>
    <n v="8"/>
    <n v="0.12"/>
    <n v="0.05"/>
    <n v="24300"/>
    <n v="23085"/>
    <n v="189"/>
    <n v="2770.2"/>
    <n v="2770"/>
    <n v="9720"/>
    <n v="7824.7999999999993"/>
    <n v="0.338956032055447"/>
  </r>
  <r>
    <s v="ORD-1225"/>
    <d v="2026-05-10T09:00:00"/>
    <s v="P-001"/>
    <s v="BR-20"/>
    <x v="1"/>
    <n v="10"/>
    <x v="2"/>
    <n v="450"/>
    <n v="180"/>
    <n v="3.5"/>
    <x v="2"/>
    <n v="8"/>
    <n v="0.12"/>
    <n v="0.1"/>
    <n v="4500"/>
    <n v="4050"/>
    <n v="35"/>
    <n v="486"/>
    <n v="486"/>
    <n v="1800"/>
    <n v="1278"/>
    <n v="0.31555555555555598"/>
  </r>
  <r>
    <s v="ORD-1228"/>
    <d v="2026-05-10T12:00:00"/>
    <s v="P-001"/>
    <s v="BR-20"/>
    <x v="1"/>
    <n v="126"/>
    <x v="2"/>
    <n v="450"/>
    <n v="180"/>
    <n v="3.5"/>
    <x v="2"/>
    <n v="8"/>
    <n v="0.12"/>
    <n v="0.1"/>
    <n v="56700"/>
    <n v="51030"/>
    <n v="441"/>
    <n v="6123.5999999999995"/>
    <n v="6124"/>
    <n v="22680"/>
    <n v="16102.400000000001"/>
    <n v="0.31554771702919898"/>
  </r>
  <r>
    <s v="ORD-1236"/>
    <d v="2026-05-10T20:00:00"/>
    <s v="P-001"/>
    <s v="BR-20"/>
    <x v="1"/>
    <n v="115"/>
    <x v="2"/>
    <n v="450"/>
    <n v="180"/>
    <n v="3.5"/>
    <x v="2"/>
    <n v="8"/>
    <n v="0.12"/>
    <n v="0.1"/>
    <n v="51750"/>
    <n v="46575"/>
    <n v="402.5"/>
    <n v="5589"/>
    <n v="5589"/>
    <n v="20700"/>
    <n v="14697"/>
    <n v="0.31555555555555598"/>
  </r>
  <r>
    <s v="ORD-1270"/>
    <d v="2026-05-12T06:00:00"/>
    <s v="P-001"/>
    <s v="BR-20"/>
    <x v="2"/>
    <n v="145"/>
    <x v="2"/>
    <n v="450"/>
    <n v="180"/>
    <n v="3.5"/>
    <x v="2"/>
    <n v="8"/>
    <n v="0.12"/>
    <n v="0.05"/>
    <n v="65250"/>
    <n v="61988"/>
    <n v="507.5"/>
    <n v="7438.5599999999995"/>
    <n v="7439"/>
    <n v="26100"/>
    <n v="21010.440000000002"/>
    <n v="0.33894366651609997"/>
  </r>
  <r>
    <s v="ORD-1273"/>
    <d v="2026-05-12T09:00:00"/>
    <s v="P-001"/>
    <s v="BR-20"/>
    <x v="0"/>
    <n v="46"/>
    <x v="2"/>
    <n v="450"/>
    <n v="180"/>
    <n v="3.5"/>
    <x v="2"/>
    <n v="8"/>
    <n v="0.12"/>
    <n v="0.02"/>
    <n v="20700"/>
    <n v="20286"/>
    <n v="161"/>
    <n v="2434.3199999999997"/>
    <n v="2434"/>
    <n v="8280"/>
    <n v="7137.68"/>
    <n v="0.35185250911958998"/>
  </r>
  <r>
    <s v="ORD-1288"/>
    <d v="2026-05-13T00:00:00"/>
    <s v="P-001"/>
    <s v="BR-20"/>
    <x v="0"/>
    <n v="48"/>
    <x v="2"/>
    <n v="450"/>
    <n v="180"/>
    <n v="3.5"/>
    <x v="2"/>
    <n v="8"/>
    <n v="0.12"/>
    <n v="0.02"/>
    <n v="21600"/>
    <n v="21168"/>
    <n v="168"/>
    <n v="2540.16"/>
    <n v="2540"/>
    <n v="8640"/>
    <n v="7447.84"/>
    <n v="0.35184429327286498"/>
  </r>
  <r>
    <s v="ORD-1303"/>
    <d v="2026-05-13T15:00:00"/>
    <s v="P-001"/>
    <s v="BR-20"/>
    <x v="1"/>
    <n v="160"/>
    <x v="2"/>
    <n v="450"/>
    <n v="180"/>
    <n v="3.5"/>
    <x v="2"/>
    <n v="8"/>
    <n v="0.12"/>
    <n v="0.1"/>
    <n v="72000"/>
    <n v="64800"/>
    <n v="560"/>
    <n v="7776"/>
    <n v="7776"/>
    <n v="28800"/>
    <n v="20448"/>
    <n v="0.31555555555555598"/>
  </r>
  <r>
    <s v="ORD-1307"/>
    <d v="2026-05-13T19:00:00"/>
    <s v="P-001"/>
    <s v="BR-20"/>
    <x v="1"/>
    <n v="109"/>
    <x v="2"/>
    <n v="450"/>
    <n v="180"/>
    <n v="3.5"/>
    <x v="2"/>
    <n v="8"/>
    <n v="0.12"/>
    <n v="0.1"/>
    <n v="49050"/>
    <n v="44145"/>
    <n v="381.5"/>
    <n v="5297.4"/>
    <n v="5297"/>
    <n v="19620"/>
    <n v="13930.599999999999"/>
    <n v="0.31556461660437202"/>
  </r>
  <r>
    <s v="ORD-1310"/>
    <d v="2026-05-13T22:00:00"/>
    <s v="P-001"/>
    <s v="BR-20"/>
    <x v="2"/>
    <n v="45"/>
    <x v="2"/>
    <n v="450"/>
    <n v="180"/>
    <n v="3.5"/>
    <x v="2"/>
    <n v="8"/>
    <n v="0.12"/>
    <n v="0.05"/>
    <n v="20250"/>
    <n v="19238"/>
    <n v="157.5"/>
    <n v="2308.56"/>
    <n v="2309"/>
    <n v="8100"/>
    <n v="6520.4400000000005"/>
    <n v="0.33893544027445699"/>
  </r>
  <r>
    <s v="ORD-1311"/>
    <d v="2026-05-13T23:00:00"/>
    <s v="P-001"/>
    <s v="BR-20"/>
    <x v="2"/>
    <n v="34"/>
    <x v="2"/>
    <n v="450"/>
    <n v="180"/>
    <n v="3.5"/>
    <x v="2"/>
    <n v="8"/>
    <n v="0.12"/>
    <n v="0.05"/>
    <n v="15300"/>
    <n v="14535"/>
    <n v="119"/>
    <n v="1744.2"/>
    <n v="1744"/>
    <n v="6120"/>
    <n v="4926.7999999999993"/>
    <n v="0.33896112831097402"/>
  </r>
  <r>
    <s v="ORD-1318"/>
    <d v="2026-05-14T06:00:00"/>
    <s v="P-001"/>
    <s v="BR-20"/>
    <x v="0"/>
    <n v="120"/>
    <x v="2"/>
    <n v="450"/>
    <n v="180"/>
    <n v="3.5"/>
    <x v="2"/>
    <n v="8"/>
    <n v="0.12"/>
    <n v="0.02"/>
    <n v="54000"/>
    <n v="52920"/>
    <n v="420"/>
    <n v="6350.4"/>
    <n v="6350"/>
    <n v="21600"/>
    <n v="18619.599999999999"/>
    <n v="0.35184429327286498"/>
  </r>
  <r>
    <s v="ORD-1327"/>
    <d v="2026-05-14T15:00:00"/>
    <s v="P-001"/>
    <s v="BR-20"/>
    <x v="1"/>
    <n v="171"/>
    <x v="2"/>
    <n v="450"/>
    <n v="180"/>
    <n v="3.5"/>
    <x v="2"/>
    <n v="8"/>
    <n v="0.12"/>
    <n v="0.1"/>
    <n v="76950"/>
    <n v="69255"/>
    <n v="598.5"/>
    <n v="8310.6"/>
    <n v="8311"/>
    <n v="30780"/>
    <n v="21853.4"/>
    <n v="0.315549779799292"/>
  </r>
  <r>
    <s v="ORD-1330"/>
    <d v="2026-05-14T18:00:00"/>
    <s v="P-001"/>
    <s v="BR-20"/>
    <x v="2"/>
    <n v="89"/>
    <x v="2"/>
    <n v="450"/>
    <n v="180"/>
    <n v="3.5"/>
    <x v="2"/>
    <n v="8"/>
    <n v="0.12"/>
    <n v="0.05"/>
    <n v="40050"/>
    <n v="38048"/>
    <n v="311.5"/>
    <n v="4565.76"/>
    <n v="4566"/>
    <n v="16020"/>
    <n v="12896.239999999998"/>
    <n v="0.338946593776283"/>
  </r>
  <r>
    <s v="ORD-1331"/>
    <d v="2026-05-14T19:00:00"/>
    <s v="P-001"/>
    <s v="BR-20"/>
    <x v="2"/>
    <n v="193"/>
    <x v="2"/>
    <n v="450"/>
    <n v="180"/>
    <n v="3.5"/>
    <x v="2"/>
    <n v="8"/>
    <n v="0.12"/>
    <n v="0.05"/>
    <n v="86850"/>
    <n v="82508"/>
    <n v="675.5"/>
    <n v="9900.9599999999991"/>
    <n v="9901"/>
    <n v="34740"/>
    <n v="27966.04"/>
    <n v="0.33894943520628301"/>
  </r>
  <r>
    <s v="ORD-1338"/>
    <d v="2026-05-15T02:00:00"/>
    <s v="P-001"/>
    <s v="BR-20"/>
    <x v="2"/>
    <n v="158"/>
    <x v="2"/>
    <n v="450"/>
    <n v="180"/>
    <n v="3.5"/>
    <x v="2"/>
    <n v="8"/>
    <n v="0.12"/>
    <n v="0.05"/>
    <n v="71100"/>
    <n v="67545"/>
    <n v="553"/>
    <n v="8105.4"/>
    <n v="8105"/>
    <n v="28440"/>
    <n v="22894.6"/>
    <n v="0.33895329039899302"/>
  </r>
  <r>
    <s v="ORD-1345"/>
    <d v="2026-05-15T09:00:00"/>
    <s v="P-001"/>
    <s v="BR-20"/>
    <x v="1"/>
    <n v="123"/>
    <x v="2"/>
    <n v="450"/>
    <n v="180"/>
    <n v="3.5"/>
    <x v="2"/>
    <n v="8"/>
    <n v="0.12"/>
    <n v="0.1"/>
    <n v="55350"/>
    <n v="49815"/>
    <n v="430.5"/>
    <n v="5977.8"/>
    <n v="5978"/>
    <n v="22140"/>
    <n v="15719.199999999997"/>
    <n v="0.31555154070059199"/>
  </r>
  <r>
    <s v="ORD-1354"/>
    <d v="2026-05-15T18:00:00"/>
    <s v="P-001"/>
    <s v="BR-20"/>
    <x v="1"/>
    <n v="55"/>
    <x v="2"/>
    <n v="450"/>
    <n v="180"/>
    <n v="3.5"/>
    <x v="2"/>
    <n v="8"/>
    <n v="0.12"/>
    <n v="0.1"/>
    <n v="24750"/>
    <n v="22275"/>
    <n v="192.5"/>
    <n v="2673"/>
    <n v="2673"/>
    <n v="9900"/>
    <n v="7029"/>
    <n v="0.31555555555555598"/>
  </r>
  <r>
    <s v="ORD-1356"/>
    <d v="2026-05-15T20:00:00"/>
    <s v="P-001"/>
    <s v="BR-20"/>
    <x v="1"/>
    <n v="18"/>
    <x v="2"/>
    <n v="450"/>
    <n v="180"/>
    <n v="3.5"/>
    <x v="2"/>
    <n v="8"/>
    <n v="0.12"/>
    <n v="0.1"/>
    <n v="8100"/>
    <n v="7290"/>
    <n v="63"/>
    <n v="874.8"/>
    <n v="875"/>
    <n v="3240"/>
    <n v="2300.1999999999998"/>
    <n v="0.31552812071330599"/>
  </r>
  <r>
    <s v="ORD-1360"/>
    <d v="2026-05-16T00:00:00"/>
    <s v="P-001"/>
    <s v="BR-20"/>
    <x v="0"/>
    <n v="140"/>
    <x v="2"/>
    <n v="450"/>
    <n v="180"/>
    <n v="3.5"/>
    <x v="2"/>
    <n v="8"/>
    <n v="0.12"/>
    <n v="0.02"/>
    <n v="63000"/>
    <n v="61740"/>
    <n v="490"/>
    <n v="7408.7999999999993"/>
    <n v="7409"/>
    <n v="25200"/>
    <n v="21722.199999999997"/>
    <n v="0.35183349530288299"/>
  </r>
  <r>
    <s v="ORD-1363"/>
    <d v="2026-05-16T03:00:00"/>
    <s v="P-001"/>
    <s v="BR-20"/>
    <x v="2"/>
    <n v="67"/>
    <x v="2"/>
    <n v="450"/>
    <n v="180"/>
    <n v="3.5"/>
    <x v="2"/>
    <n v="8"/>
    <n v="0.12"/>
    <n v="0.05"/>
    <n v="30150"/>
    <n v="28642"/>
    <n v="234.5"/>
    <n v="3437.04"/>
    <n v="3437"/>
    <n v="12060"/>
    <n v="9707.9599999999991"/>
    <n v="0.33894141470567701"/>
  </r>
  <r>
    <s v="ORD-1372"/>
    <d v="2026-05-16T12:00:00"/>
    <s v="P-001"/>
    <s v="BR-20"/>
    <x v="1"/>
    <n v="91"/>
    <x v="2"/>
    <n v="450"/>
    <n v="180"/>
    <n v="3.5"/>
    <x v="2"/>
    <n v="8"/>
    <n v="0.12"/>
    <n v="0.1"/>
    <n v="40950"/>
    <n v="36855"/>
    <n v="318.5"/>
    <n v="4422.5999999999995"/>
    <n v="4423"/>
    <n v="16380"/>
    <n v="11629.400000000001"/>
    <n v="0.31554470221136899"/>
  </r>
  <r>
    <s v="ORD-1381"/>
    <d v="2026-05-16T21:00:00"/>
    <s v="P-001"/>
    <s v="BR-20"/>
    <x v="1"/>
    <n v="75"/>
    <x v="2"/>
    <n v="450"/>
    <n v="180"/>
    <n v="3.5"/>
    <x v="2"/>
    <n v="8"/>
    <n v="0.12"/>
    <n v="0.1"/>
    <n v="33750"/>
    <n v="30375"/>
    <n v="262.5"/>
    <n v="3645"/>
    <n v="3645"/>
    <n v="13500"/>
    <n v="9585"/>
    <n v="0.31555555555555598"/>
  </r>
  <r>
    <s v="ORD-1383"/>
    <d v="2026-05-16T23:00:00"/>
    <s v="P-001"/>
    <s v="BR-20"/>
    <x v="1"/>
    <n v="18"/>
    <x v="2"/>
    <n v="450"/>
    <n v="180"/>
    <n v="3.5"/>
    <x v="2"/>
    <n v="8"/>
    <n v="0.12"/>
    <n v="0.1"/>
    <n v="8100"/>
    <n v="7290"/>
    <n v="63"/>
    <n v="874.8"/>
    <n v="875"/>
    <n v="3240"/>
    <n v="2300.1999999999998"/>
    <n v="0.31552812071330599"/>
  </r>
  <r>
    <s v="ORD-1385"/>
    <d v="2026-05-17T01:00:00"/>
    <s v="P-001"/>
    <s v="BR-20"/>
    <x v="1"/>
    <n v="114"/>
    <x v="2"/>
    <n v="450"/>
    <n v="180"/>
    <n v="3.5"/>
    <x v="2"/>
    <n v="8"/>
    <n v="0.12"/>
    <n v="0.1"/>
    <n v="51300"/>
    <n v="46170"/>
    <n v="399"/>
    <n v="5540.4"/>
    <n v="5540"/>
    <n v="20520"/>
    <n v="14569.599999999999"/>
    <n v="0.31556421918994998"/>
  </r>
  <r>
    <s v="ORD-1399"/>
    <d v="2026-05-17T15:00:00"/>
    <s v="P-001"/>
    <s v="BR-20"/>
    <x v="2"/>
    <n v="19"/>
    <x v="2"/>
    <n v="450"/>
    <n v="180"/>
    <n v="3.5"/>
    <x v="2"/>
    <n v="8"/>
    <n v="0.12"/>
    <n v="0.05"/>
    <n v="8550"/>
    <n v="8122"/>
    <n v="66.5"/>
    <n v="974.64"/>
    <n v="975"/>
    <n v="3420"/>
    <n v="2752.3599999999997"/>
    <n v="0.33887712386111801"/>
  </r>
  <r>
    <s v="ORD-1416"/>
    <d v="2026-05-18T08:00:00"/>
    <s v="P-001"/>
    <s v="BR-20"/>
    <x v="2"/>
    <n v="163"/>
    <x v="2"/>
    <n v="450"/>
    <n v="180"/>
    <n v="3.5"/>
    <x v="2"/>
    <n v="8"/>
    <n v="0.12"/>
    <n v="0.05"/>
    <n v="73350"/>
    <n v="69682"/>
    <n v="570.5"/>
    <n v="8361.84"/>
    <n v="8362"/>
    <n v="29340"/>
    <n v="23618.160000000003"/>
    <n v="0.33894205103183001"/>
  </r>
  <r>
    <s v="ORD-1426"/>
    <d v="2026-05-18T18:00:00"/>
    <s v="P-001"/>
    <s v="BR-20"/>
    <x v="0"/>
    <n v="112"/>
    <x v="2"/>
    <n v="450"/>
    <n v="180"/>
    <n v="3.5"/>
    <x v="2"/>
    <n v="8"/>
    <n v="0.12"/>
    <n v="0.02"/>
    <n v="50400"/>
    <n v="49392"/>
    <n v="392"/>
    <n v="5927.04"/>
    <n v="5927"/>
    <n v="20160"/>
    <n v="17377.96"/>
    <n v="0.35183754454162602"/>
  </r>
  <r>
    <s v="ORD-1429"/>
    <d v="2026-05-18T21:00:00"/>
    <s v="P-001"/>
    <s v="BR-20"/>
    <x v="2"/>
    <n v="46"/>
    <x v="2"/>
    <n v="450"/>
    <n v="180"/>
    <n v="3.5"/>
    <x v="2"/>
    <n v="8"/>
    <n v="0.12"/>
    <n v="0.05"/>
    <n v="20700"/>
    <n v="19665"/>
    <n v="161"/>
    <n v="2359.7999999999997"/>
    <n v="2360"/>
    <n v="8280"/>
    <n v="6665.2000000000007"/>
    <n v="0.33893719806763301"/>
  </r>
  <r>
    <s v="ORD-1438"/>
    <d v="2026-05-19T06:00:00"/>
    <s v="P-001"/>
    <s v="BR-20"/>
    <x v="0"/>
    <n v="152"/>
    <x v="2"/>
    <n v="450"/>
    <n v="180"/>
    <n v="3.5"/>
    <x v="2"/>
    <n v="8"/>
    <n v="0.12"/>
    <n v="0.02"/>
    <n v="68400"/>
    <n v="67032"/>
    <n v="532"/>
    <n v="8043.84"/>
    <n v="8044"/>
    <n v="27360"/>
    <n v="23584.160000000003"/>
    <n v="0.35183434777419798"/>
  </r>
  <r>
    <s v="ORD-1442"/>
    <d v="2026-05-19T10:00:00"/>
    <s v="P-001"/>
    <s v="BR-20"/>
    <x v="2"/>
    <n v="153"/>
    <x v="2"/>
    <n v="450"/>
    <n v="180"/>
    <n v="3.5"/>
    <x v="2"/>
    <n v="8"/>
    <n v="0.12"/>
    <n v="0.05"/>
    <n v="68850"/>
    <n v="65408"/>
    <n v="535.5"/>
    <n v="7848.96"/>
    <n v="7849"/>
    <n v="27540"/>
    <n v="22170.04"/>
    <n v="0.33894997553815998"/>
  </r>
  <r>
    <s v="ORD-1449"/>
    <d v="2026-05-19T17:00:00"/>
    <s v="P-001"/>
    <s v="BR-20"/>
    <x v="2"/>
    <n v="163"/>
    <x v="2"/>
    <n v="450"/>
    <n v="180"/>
    <n v="3.5"/>
    <x v="2"/>
    <n v="8"/>
    <n v="0.12"/>
    <n v="0.05"/>
    <n v="73350"/>
    <n v="69682"/>
    <n v="570.5"/>
    <n v="8361.84"/>
    <n v="8362"/>
    <n v="29340"/>
    <n v="23618.160000000003"/>
    <n v="0.33894205103183001"/>
  </r>
  <r>
    <s v="ORD-1457"/>
    <d v="2026-05-20T01:00:00"/>
    <s v="P-001"/>
    <s v="BR-20"/>
    <x v="0"/>
    <n v="85"/>
    <x v="2"/>
    <n v="450"/>
    <n v="180"/>
    <n v="3.5"/>
    <x v="2"/>
    <n v="8"/>
    <n v="0.12"/>
    <n v="0.02"/>
    <n v="38250"/>
    <n v="37485"/>
    <n v="297.5"/>
    <n v="4498.2"/>
    <n v="4498"/>
    <n v="15300"/>
    <n v="13188.8"/>
    <n v="0.35184207016139801"/>
  </r>
  <r>
    <s v="ORD-1461"/>
    <d v="2026-05-20T05:00:00"/>
    <s v="P-001"/>
    <s v="BR-20"/>
    <x v="0"/>
    <n v="41"/>
    <x v="2"/>
    <n v="450"/>
    <n v="180"/>
    <n v="3.5"/>
    <x v="2"/>
    <n v="8"/>
    <n v="0.12"/>
    <n v="0.02"/>
    <n v="18450"/>
    <n v="18081"/>
    <n v="143.5"/>
    <n v="2169.7199999999998"/>
    <n v="2170"/>
    <n v="7380"/>
    <n v="6361.2800000000007"/>
    <n v="0.35182124882473298"/>
  </r>
  <r>
    <s v="ORD-1462"/>
    <d v="2026-05-20T06:00:00"/>
    <s v="P-001"/>
    <s v="BR-20"/>
    <x v="0"/>
    <n v="57"/>
    <x v="2"/>
    <n v="450"/>
    <n v="180"/>
    <n v="3.5"/>
    <x v="2"/>
    <n v="8"/>
    <n v="0.12"/>
    <n v="0.02"/>
    <n v="25650"/>
    <n v="25137"/>
    <n v="199.5"/>
    <n v="3016.44"/>
    <n v="3016"/>
    <n v="10260"/>
    <n v="8844.56"/>
    <n v="0.35185423877153199"/>
  </r>
  <r>
    <s v="ORD-1466"/>
    <d v="2026-05-20T10:00:00"/>
    <s v="P-001"/>
    <s v="BR-20"/>
    <x v="1"/>
    <n v="129"/>
    <x v="2"/>
    <n v="450"/>
    <n v="180"/>
    <n v="3.5"/>
    <x v="2"/>
    <n v="8"/>
    <n v="0.12"/>
    <n v="0.1"/>
    <n v="58050"/>
    <n v="52245"/>
    <n v="451.5"/>
    <n v="6269.4"/>
    <n v="6269"/>
    <n v="23220"/>
    <n v="16486.599999999999"/>
    <n v="0.31556321179060198"/>
  </r>
  <r>
    <s v="ORD-1470"/>
    <d v="2026-05-20T14:00:00"/>
    <s v="P-001"/>
    <s v="BR-20"/>
    <x v="2"/>
    <n v="161"/>
    <x v="2"/>
    <n v="450"/>
    <n v="180"/>
    <n v="3.5"/>
    <x v="2"/>
    <n v="8"/>
    <n v="0.12"/>
    <n v="0.05"/>
    <n v="72450"/>
    <n v="68828"/>
    <n v="563.5"/>
    <n v="8259.36"/>
    <n v="8259"/>
    <n v="28980"/>
    <n v="23329.64"/>
    <n v="0.33895565758121698"/>
  </r>
  <r>
    <s v="ORD-1472"/>
    <d v="2026-05-20T16:00:00"/>
    <s v="P-001"/>
    <s v="BR-20"/>
    <x v="2"/>
    <n v="145"/>
    <x v="2"/>
    <n v="450"/>
    <n v="180"/>
    <n v="3.5"/>
    <x v="2"/>
    <n v="8"/>
    <n v="0.12"/>
    <n v="0.05"/>
    <n v="65250"/>
    <n v="61988"/>
    <n v="507.5"/>
    <n v="7438.5599999999995"/>
    <n v="7439"/>
    <n v="26100"/>
    <n v="21010.440000000002"/>
    <n v="0.33894366651609997"/>
  </r>
  <r>
    <s v="ORD-1497"/>
    <d v="2026-05-21T17:00:00"/>
    <s v="P-001"/>
    <s v="BR-20"/>
    <x v="0"/>
    <n v="52"/>
    <x v="2"/>
    <n v="450"/>
    <n v="180"/>
    <n v="3.5"/>
    <x v="2"/>
    <n v="8"/>
    <n v="0.12"/>
    <n v="0.02"/>
    <n v="23400"/>
    <n v="22932"/>
    <n v="182"/>
    <n v="2751.8399999999997"/>
    <n v="2752"/>
    <n v="9360"/>
    <n v="8068.16"/>
    <n v="0.351829757544043"/>
  </r>
  <r>
    <s v="ORD-1504"/>
    <d v="2026-05-22T00:00:00"/>
    <s v="P-001"/>
    <s v="BR-20"/>
    <x v="0"/>
    <n v="139"/>
    <x v="2"/>
    <n v="450"/>
    <n v="180"/>
    <n v="3.5"/>
    <x v="2"/>
    <n v="8"/>
    <n v="0.12"/>
    <n v="0.02"/>
    <n v="62550"/>
    <n v="61299"/>
    <n v="486.5"/>
    <n v="7355.88"/>
    <n v="7356"/>
    <n v="25020"/>
    <n v="21567.119999999995"/>
    <n v="0.35183477707629801"/>
  </r>
  <r>
    <s v="ORD-1509"/>
    <d v="2026-05-22T05:00:00"/>
    <s v="P-001"/>
    <s v="BR-20"/>
    <x v="0"/>
    <n v="126"/>
    <x v="2"/>
    <n v="450"/>
    <n v="180"/>
    <n v="3.5"/>
    <x v="2"/>
    <n v="8"/>
    <n v="0.12"/>
    <n v="0.02"/>
    <n v="56700"/>
    <n v="55566"/>
    <n v="441"/>
    <n v="6667.92"/>
    <n v="6668"/>
    <n v="22680"/>
    <n v="19550.080000000002"/>
    <n v="0.35183529496454702"/>
  </r>
  <r>
    <s v="ORD-1524"/>
    <d v="2026-05-22T20:00:00"/>
    <s v="P-001"/>
    <s v="BR-20"/>
    <x v="0"/>
    <n v="110"/>
    <x v="2"/>
    <n v="450"/>
    <n v="180"/>
    <n v="3.5"/>
    <x v="2"/>
    <n v="8"/>
    <n v="0.12"/>
    <n v="0.02"/>
    <n v="49500"/>
    <n v="48510"/>
    <n v="385"/>
    <n v="5821.2"/>
    <n v="5821"/>
    <n v="19800"/>
    <n v="17067.8"/>
    <n v="0.35184085755514299"/>
  </r>
  <r>
    <s v="ORD-1530"/>
    <d v="2026-05-23T02:00:00"/>
    <s v="P-001"/>
    <s v="BR-20"/>
    <x v="1"/>
    <n v="50"/>
    <x v="2"/>
    <n v="450"/>
    <n v="180"/>
    <n v="3.5"/>
    <x v="2"/>
    <n v="8"/>
    <n v="0.12"/>
    <n v="0.1"/>
    <n v="22500"/>
    <n v="20250"/>
    <n v="175"/>
    <n v="2430"/>
    <n v="2430"/>
    <n v="9000"/>
    <n v="6390"/>
    <n v="0.31555555555555598"/>
  </r>
  <r>
    <s v="ORD-1555"/>
    <d v="2026-05-24T03:00:00"/>
    <s v="P-001"/>
    <s v="BR-20"/>
    <x v="2"/>
    <n v="10"/>
    <x v="2"/>
    <n v="450"/>
    <n v="180"/>
    <n v="3.5"/>
    <x v="2"/>
    <n v="8"/>
    <n v="0.12"/>
    <n v="0.05"/>
    <n v="4500"/>
    <n v="4275"/>
    <n v="35"/>
    <n v="513"/>
    <n v="513"/>
    <n v="1800"/>
    <n v="1449"/>
    <n v="0.338947368421053"/>
  </r>
  <r>
    <s v="ORD-1565"/>
    <d v="2026-05-24T13:00:00"/>
    <s v="P-001"/>
    <s v="BR-20"/>
    <x v="0"/>
    <n v="152"/>
    <x v="2"/>
    <n v="450"/>
    <n v="180"/>
    <n v="3.5"/>
    <x v="2"/>
    <n v="8"/>
    <n v="0.12"/>
    <n v="0.02"/>
    <n v="68400"/>
    <n v="67032"/>
    <n v="532"/>
    <n v="8043.84"/>
    <n v="8044"/>
    <n v="27360"/>
    <n v="23584.160000000003"/>
    <n v="0.35183434777419798"/>
  </r>
  <r>
    <s v="ORD-1566"/>
    <d v="2026-05-24T14:00:00"/>
    <s v="P-001"/>
    <s v="BR-20"/>
    <x v="2"/>
    <n v="15"/>
    <x v="2"/>
    <n v="450"/>
    <n v="180"/>
    <n v="3.5"/>
    <x v="2"/>
    <n v="8"/>
    <n v="0.12"/>
    <n v="0.05"/>
    <n v="6750"/>
    <n v="6412"/>
    <n v="52.5"/>
    <n v="769.43999999999994"/>
    <n v="769"/>
    <n v="2700"/>
    <n v="2173.5599999999995"/>
    <n v="0.33898315658140998"/>
  </r>
  <r>
    <s v="ORD-1571"/>
    <d v="2026-05-24T19:00:00"/>
    <s v="P-001"/>
    <s v="BR-20"/>
    <x v="2"/>
    <n v="120"/>
    <x v="2"/>
    <n v="450"/>
    <n v="180"/>
    <n v="3.5"/>
    <x v="2"/>
    <n v="8"/>
    <n v="0.12"/>
    <n v="0.05"/>
    <n v="54000"/>
    <n v="51300"/>
    <n v="420"/>
    <n v="6156"/>
    <n v="6156"/>
    <n v="21600"/>
    <n v="17388"/>
    <n v="0.338947368421053"/>
  </r>
  <r>
    <s v="ORD-1582"/>
    <d v="2026-05-25T06:00:00"/>
    <s v="P-001"/>
    <s v="BR-20"/>
    <x v="0"/>
    <n v="170"/>
    <x v="2"/>
    <n v="450"/>
    <n v="180"/>
    <n v="3.5"/>
    <x v="2"/>
    <n v="8"/>
    <n v="0.12"/>
    <n v="0.02"/>
    <n v="76500"/>
    <n v="74970"/>
    <n v="595"/>
    <n v="8996.4"/>
    <n v="8996"/>
    <n v="30600"/>
    <n v="26377.599999999999"/>
    <n v="0.35184207016139801"/>
  </r>
  <r>
    <s v="ORD-1598"/>
    <d v="2026-05-25T22:00:00"/>
    <s v="P-001"/>
    <s v="BR-20"/>
    <x v="1"/>
    <n v="198"/>
    <x v="2"/>
    <n v="450"/>
    <n v="180"/>
    <n v="3.5"/>
    <x v="2"/>
    <n v="8"/>
    <n v="0.12"/>
    <n v="0.1"/>
    <n v="89100"/>
    <n v="80190"/>
    <n v="693"/>
    <n v="9622.7999999999993"/>
    <n v="9623"/>
    <n v="35640"/>
    <n v="25304.199999999997"/>
    <n v="0.31555306147898698"/>
  </r>
  <r>
    <s v="ORD-1601"/>
    <d v="2026-05-26T01:00:00"/>
    <s v="P-001"/>
    <s v="BR-20"/>
    <x v="2"/>
    <n v="13"/>
    <x v="2"/>
    <n v="450"/>
    <n v="180"/>
    <n v="3.5"/>
    <x v="2"/>
    <n v="8"/>
    <n v="0.12"/>
    <n v="0.05"/>
    <n v="5850"/>
    <n v="5558"/>
    <n v="45.5"/>
    <n v="666.95999999999992"/>
    <n v="667"/>
    <n v="2340"/>
    <n v="1884.04"/>
    <n v="0.33897804965814998"/>
  </r>
  <r>
    <s v="ORD-1606"/>
    <d v="2026-05-26T06:00:00"/>
    <s v="P-001"/>
    <s v="BR-20"/>
    <x v="1"/>
    <n v="44"/>
    <x v="2"/>
    <n v="450"/>
    <n v="180"/>
    <n v="3.5"/>
    <x v="2"/>
    <n v="8"/>
    <n v="0.12"/>
    <n v="0.1"/>
    <n v="19800"/>
    <n v="17820"/>
    <n v="154"/>
    <n v="2138.4"/>
    <n v="2138"/>
    <n v="7920"/>
    <n v="5623.6"/>
    <n v="0.31557800224466898"/>
  </r>
  <r>
    <s v="ORD-1609"/>
    <d v="2026-05-26T09:00:00"/>
    <s v="P-001"/>
    <s v="BR-20"/>
    <x v="0"/>
    <n v="145"/>
    <x v="2"/>
    <n v="450"/>
    <n v="180"/>
    <n v="3.5"/>
    <x v="2"/>
    <n v="8"/>
    <n v="0.12"/>
    <n v="0.02"/>
    <n v="65250"/>
    <n v="63945"/>
    <n v="507.5"/>
    <n v="7673.4"/>
    <n v="7673"/>
    <n v="26100"/>
    <n v="22498.6"/>
    <n v="0.35184299006959102"/>
  </r>
  <r>
    <s v="ORD-1619"/>
    <d v="2026-05-26T19:00:00"/>
    <s v="P-001"/>
    <s v="BR-20"/>
    <x v="0"/>
    <n v="151"/>
    <x v="2"/>
    <n v="450"/>
    <n v="180"/>
    <n v="3.5"/>
    <x v="2"/>
    <n v="8"/>
    <n v="0.12"/>
    <n v="0.02"/>
    <n v="67950"/>
    <n v="66591"/>
    <n v="528.5"/>
    <n v="7990.92"/>
    <n v="7991"/>
    <n v="27180"/>
    <n v="23429.08"/>
    <n v="0.35183553333033002"/>
  </r>
  <r>
    <s v="ORD-1621"/>
    <d v="2026-05-26T21:00:00"/>
    <s v="P-001"/>
    <s v="BR-20"/>
    <x v="0"/>
    <n v="144"/>
    <x v="2"/>
    <n v="450"/>
    <n v="180"/>
    <n v="3.5"/>
    <x v="2"/>
    <n v="8"/>
    <n v="0.12"/>
    <n v="0.02"/>
    <n v="64800"/>
    <n v="63504"/>
    <n v="504"/>
    <n v="7620.48"/>
    <n v="7620"/>
    <n v="25920"/>
    <n v="22343.520000000004"/>
    <n v="0.35184429327286498"/>
  </r>
  <r>
    <s v="ORD-1629"/>
    <d v="2026-05-27T05:00:00"/>
    <s v="P-001"/>
    <s v="BR-20"/>
    <x v="0"/>
    <n v="105"/>
    <x v="2"/>
    <n v="450"/>
    <n v="180"/>
    <n v="3.5"/>
    <x v="2"/>
    <n v="8"/>
    <n v="0.12"/>
    <n v="0.02"/>
    <n v="47250"/>
    <n v="46305"/>
    <n v="367.5"/>
    <n v="5556.5999999999995"/>
    <n v="5557"/>
    <n v="18900"/>
    <n v="16291.400000000001"/>
    <n v="0.35182809631789203"/>
  </r>
  <r>
    <s v="ORD-1631"/>
    <d v="2026-05-27T07:00:00"/>
    <s v="P-001"/>
    <s v="BR-20"/>
    <x v="0"/>
    <n v="10"/>
    <x v="2"/>
    <n v="450"/>
    <n v="180"/>
    <n v="3.5"/>
    <x v="2"/>
    <n v="8"/>
    <n v="0.12"/>
    <n v="0.02"/>
    <n v="4500"/>
    <n v="4410"/>
    <n v="35"/>
    <n v="529.19999999999993"/>
    <n v="529"/>
    <n v="1800"/>
    <n v="1551.8000000000002"/>
    <n v="0.35188208616779998"/>
  </r>
  <r>
    <s v="ORD-1671"/>
    <d v="2026-05-28T23:00:00"/>
    <s v="P-001"/>
    <s v="BR-20"/>
    <x v="1"/>
    <n v="90"/>
    <x v="2"/>
    <n v="450"/>
    <n v="180"/>
    <n v="3.5"/>
    <x v="2"/>
    <n v="8"/>
    <n v="0.12"/>
    <n v="0.1"/>
    <n v="40500"/>
    <n v="36450"/>
    <n v="315"/>
    <n v="4374"/>
    <n v="4374"/>
    <n v="16200"/>
    <n v="11502"/>
    <n v="0.31555555555555598"/>
  </r>
  <r>
    <s v="ORD-1686"/>
    <d v="2026-05-29T14:00:00"/>
    <s v="P-001"/>
    <s v="BR-20"/>
    <x v="1"/>
    <n v="198"/>
    <x v="2"/>
    <n v="450"/>
    <n v="180"/>
    <n v="3.5"/>
    <x v="2"/>
    <n v="8"/>
    <n v="0.12"/>
    <n v="0.1"/>
    <n v="89100"/>
    <n v="80190"/>
    <n v="693"/>
    <n v="9622.7999999999993"/>
    <n v="9623"/>
    <n v="35640"/>
    <n v="25304.199999999997"/>
    <n v="0.31555306147898698"/>
  </r>
  <r>
    <s v="ORD-1723"/>
    <d v="2026-05-31T03:00:00"/>
    <s v="P-001"/>
    <s v="BR-20"/>
    <x v="2"/>
    <n v="24"/>
    <x v="2"/>
    <n v="450"/>
    <n v="180"/>
    <n v="3.5"/>
    <x v="2"/>
    <n v="8"/>
    <n v="0.12"/>
    <n v="0.05"/>
    <n v="10800"/>
    <n v="10260"/>
    <n v="84"/>
    <n v="1231.2"/>
    <n v="1231"/>
    <n v="4320"/>
    <n v="3477.8"/>
    <n v="0.33896686159844103"/>
  </r>
  <r>
    <s v="ORD-1726"/>
    <d v="2026-05-31T06:00:00"/>
    <s v="P-001"/>
    <s v="BR-20"/>
    <x v="0"/>
    <n v="83"/>
    <x v="2"/>
    <n v="450"/>
    <n v="180"/>
    <n v="3.5"/>
    <x v="2"/>
    <n v="8"/>
    <n v="0.12"/>
    <n v="0.02"/>
    <n v="37350"/>
    <n v="36603"/>
    <n v="290.5"/>
    <n v="4392.3599999999997"/>
    <n v="4392"/>
    <n v="14940"/>
    <n v="12878.64"/>
    <n v="0.35184656995328201"/>
  </r>
  <r>
    <s v="ORD-1730"/>
    <d v="2026-05-31T10:00:00"/>
    <s v="P-001"/>
    <s v="BR-20"/>
    <x v="2"/>
    <n v="165"/>
    <x v="2"/>
    <n v="450"/>
    <n v="180"/>
    <n v="3.5"/>
    <x v="2"/>
    <n v="8"/>
    <n v="0.12"/>
    <n v="0.05"/>
    <n v="74250"/>
    <n v="70538"/>
    <n v="577.5"/>
    <n v="8464.56"/>
    <n v="8465"/>
    <n v="29700"/>
    <n v="23908.440000000002"/>
    <n v="0.33894411522867102"/>
  </r>
  <r>
    <s v="ORD-1756"/>
    <d v="2026-06-01T12:00:00"/>
    <s v="P-001"/>
    <s v="BR-20"/>
    <x v="0"/>
    <n v="103"/>
    <x v="2"/>
    <n v="450"/>
    <n v="180"/>
    <n v="3.5"/>
    <x v="2"/>
    <n v="8"/>
    <n v="0.12"/>
    <n v="0.02"/>
    <n v="46350"/>
    <n v="45423"/>
    <n v="360.5"/>
    <n v="5450.76"/>
    <n v="5451"/>
    <n v="18540"/>
    <n v="15981.239999999998"/>
    <n v="0.35183145102701302"/>
  </r>
  <r>
    <s v="ORD-1757"/>
    <d v="2026-06-01T13:00:00"/>
    <s v="P-001"/>
    <s v="BR-20"/>
    <x v="1"/>
    <n v="61"/>
    <x v="2"/>
    <n v="450"/>
    <n v="180"/>
    <n v="3.5"/>
    <x v="2"/>
    <n v="8"/>
    <n v="0.12"/>
    <n v="0.1"/>
    <n v="27450"/>
    <n v="24705"/>
    <n v="213.5"/>
    <n v="2964.6"/>
    <n v="2965"/>
    <n v="10980"/>
    <n v="7795.4000000000015"/>
    <n v="0.31553936450111297"/>
  </r>
  <r>
    <s v="ORD-1766"/>
    <d v="2026-06-01T22:00:00"/>
    <s v="P-001"/>
    <s v="BR-20"/>
    <x v="1"/>
    <n v="88"/>
    <x v="2"/>
    <n v="450"/>
    <n v="180"/>
    <n v="3.5"/>
    <x v="2"/>
    <n v="8"/>
    <n v="0.12"/>
    <n v="0.1"/>
    <n v="39600"/>
    <n v="35640"/>
    <n v="308"/>
    <n v="4276.8"/>
    <n v="4277"/>
    <n v="15840"/>
    <n v="11246.2"/>
    <n v="0.31554994388327701"/>
  </r>
  <r>
    <s v="ORD-1778"/>
    <d v="2026-06-02T10:00:00"/>
    <s v="P-001"/>
    <s v="BR-20"/>
    <x v="2"/>
    <n v="157"/>
    <x v="2"/>
    <n v="450"/>
    <n v="180"/>
    <n v="3.5"/>
    <x v="2"/>
    <n v="8"/>
    <n v="0.12"/>
    <n v="0.05"/>
    <n v="70650"/>
    <n v="67118"/>
    <n v="549.5"/>
    <n v="8054.16"/>
    <n v="8054"/>
    <n v="28260"/>
    <n v="22749.839999999997"/>
    <n v="0.33895288894186398"/>
  </r>
  <r>
    <s v="ORD-1782"/>
    <d v="2026-06-02T14:00:00"/>
    <s v="P-001"/>
    <s v="BR-20"/>
    <x v="1"/>
    <n v="131"/>
    <x v="2"/>
    <n v="450"/>
    <n v="180"/>
    <n v="3.5"/>
    <x v="2"/>
    <n v="8"/>
    <n v="0.12"/>
    <n v="0.1"/>
    <n v="58950"/>
    <n v="53055"/>
    <n v="458.5"/>
    <n v="6366.5999999999995"/>
    <n v="6367"/>
    <n v="23580"/>
    <n v="16741.400000000001"/>
    <n v="0.315548016209594"/>
  </r>
  <r>
    <s v="ORD-1785"/>
    <d v="2026-06-02T17:00:00"/>
    <s v="P-001"/>
    <s v="BR-20"/>
    <x v="2"/>
    <n v="133"/>
    <x v="2"/>
    <n v="450"/>
    <n v="180"/>
    <n v="3.5"/>
    <x v="2"/>
    <n v="8"/>
    <n v="0.12"/>
    <n v="0.05"/>
    <n v="59850"/>
    <n v="56858"/>
    <n v="465.5"/>
    <n v="6822.96"/>
    <n v="6823"/>
    <n v="23940"/>
    <n v="19272.04"/>
    <n v="0.33895036758239799"/>
  </r>
  <r>
    <s v="ORD-1788"/>
    <d v="2026-06-02T20:00:00"/>
    <s v="P-001"/>
    <s v="BR-20"/>
    <x v="0"/>
    <n v="47"/>
    <x v="2"/>
    <n v="450"/>
    <n v="180"/>
    <n v="3.5"/>
    <x v="2"/>
    <n v="8"/>
    <n v="0.12"/>
    <n v="0.02"/>
    <n v="21150"/>
    <n v="20727"/>
    <n v="164.5"/>
    <n v="2487.2399999999998"/>
    <n v="2487"/>
    <n v="8460"/>
    <n v="7292.76"/>
    <n v="0.35184831379360298"/>
  </r>
  <r>
    <s v="ORD-1793"/>
    <d v="2026-06-03T01:00:00"/>
    <s v="P-001"/>
    <s v="BR-20"/>
    <x v="2"/>
    <n v="72"/>
    <x v="2"/>
    <n v="450"/>
    <n v="180"/>
    <n v="3.5"/>
    <x v="2"/>
    <n v="8"/>
    <n v="0.12"/>
    <n v="0.05"/>
    <n v="32400"/>
    <n v="30780"/>
    <n v="252"/>
    <n v="3693.6"/>
    <n v="3694"/>
    <n v="12960"/>
    <n v="10432.400000000001"/>
    <n v="0.338934372969461"/>
  </r>
  <r>
    <s v="ORD-1799"/>
    <d v="2026-06-03T07:00:00"/>
    <s v="P-001"/>
    <s v="BR-20"/>
    <x v="1"/>
    <n v="188"/>
    <x v="2"/>
    <n v="450"/>
    <n v="180"/>
    <n v="3.5"/>
    <x v="2"/>
    <n v="8"/>
    <n v="0.12"/>
    <n v="0.1"/>
    <n v="84600"/>
    <n v="76140"/>
    <n v="658"/>
    <n v="9136.7999999999993"/>
    <n v="9137"/>
    <n v="33840"/>
    <n v="24026.199999999997"/>
    <n v="0.31555292881533997"/>
  </r>
  <r>
    <s v="ORD-1810"/>
    <d v="2026-06-03T18:00:00"/>
    <s v="P-001"/>
    <s v="BR-20"/>
    <x v="1"/>
    <n v="66"/>
    <x v="2"/>
    <n v="450"/>
    <n v="180"/>
    <n v="3.5"/>
    <x v="2"/>
    <n v="8"/>
    <n v="0.12"/>
    <n v="0.1"/>
    <n v="29700"/>
    <n v="26730"/>
    <n v="231"/>
    <n v="3207.6"/>
    <n v="3208"/>
    <n v="11880"/>
    <n v="8434.4000000000015"/>
    <n v="0.31554059109614702"/>
  </r>
  <r>
    <s v="ORD-1812"/>
    <d v="2026-06-03T20:00:00"/>
    <s v="P-001"/>
    <s v="BR-20"/>
    <x v="0"/>
    <n v="67"/>
    <x v="2"/>
    <n v="450"/>
    <n v="180"/>
    <n v="3.5"/>
    <x v="2"/>
    <n v="8"/>
    <n v="0.12"/>
    <n v="0.02"/>
    <n v="30150"/>
    <n v="29547"/>
    <n v="234.5"/>
    <n v="3545.64"/>
    <n v="3546"/>
    <n v="12060"/>
    <n v="10395.36"/>
    <n v="0.35182455071580898"/>
  </r>
  <r>
    <s v="ORD-1821"/>
    <d v="2026-06-04T05:00:00"/>
    <s v="P-001"/>
    <s v="BR-20"/>
    <x v="0"/>
    <n v="126"/>
    <x v="2"/>
    <n v="450"/>
    <n v="180"/>
    <n v="3.5"/>
    <x v="2"/>
    <n v="8"/>
    <n v="0.12"/>
    <n v="0.02"/>
    <n v="56700"/>
    <n v="55566"/>
    <n v="441"/>
    <n v="6667.92"/>
    <n v="6668"/>
    <n v="22680"/>
    <n v="19550.080000000002"/>
    <n v="0.35183529496454702"/>
  </r>
  <r>
    <s v="ORD-1824"/>
    <d v="2026-06-04T08:00:00"/>
    <s v="P-001"/>
    <s v="BR-20"/>
    <x v="0"/>
    <n v="68"/>
    <x v="2"/>
    <n v="450"/>
    <n v="180"/>
    <n v="3.5"/>
    <x v="2"/>
    <n v="8"/>
    <n v="0.12"/>
    <n v="0.02"/>
    <n v="30600"/>
    <n v="29988"/>
    <n v="238"/>
    <n v="3598.56"/>
    <n v="3599"/>
    <n v="12240"/>
    <n v="10550.440000000002"/>
    <n v="0.351822062158197"/>
  </r>
  <r>
    <s v="ORD-1833"/>
    <d v="2026-06-04T17:00:00"/>
    <s v="P-001"/>
    <s v="BR-20"/>
    <x v="0"/>
    <n v="118"/>
    <x v="2"/>
    <n v="450"/>
    <n v="180"/>
    <n v="3.5"/>
    <x v="2"/>
    <n v="8"/>
    <n v="0.12"/>
    <n v="0.02"/>
    <n v="53100"/>
    <n v="52038"/>
    <n v="413"/>
    <n v="6244.5599999999995"/>
    <n v="6245"/>
    <n v="21240"/>
    <n v="18308.440000000002"/>
    <n v="0.35182827933433303"/>
  </r>
  <r>
    <s v="ORD-1846"/>
    <d v="2026-06-05T06:00:00"/>
    <s v="P-001"/>
    <s v="BR-20"/>
    <x v="1"/>
    <n v="59"/>
    <x v="2"/>
    <n v="450"/>
    <n v="180"/>
    <n v="3.5"/>
    <x v="2"/>
    <n v="8"/>
    <n v="0.12"/>
    <n v="0.1"/>
    <n v="26550"/>
    <n v="23895"/>
    <n v="206.5"/>
    <n v="2867.4"/>
    <n v="2867"/>
    <n v="10620"/>
    <n v="7540.6"/>
    <n v="0.31557229545930099"/>
  </r>
  <r>
    <s v="ORD-1851"/>
    <d v="2026-06-05T11:00:00"/>
    <s v="P-001"/>
    <s v="BR-20"/>
    <x v="0"/>
    <n v="149"/>
    <x v="2"/>
    <n v="450"/>
    <n v="180"/>
    <n v="3.5"/>
    <x v="2"/>
    <n v="8"/>
    <n v="0.12"/>
    <n v="0.02"/>
    <n v="67050"/>
    <n v="65709"/>
    <n v="521.5"/>
    <n v="7885.08"/>
    <n v="7885"/>
    <n v="26820"/>
    <n v="23118.92"/>
    <n v="0.35183795218310998"/>
  </r>
  <r>
    <s v="ORD-1861"/>
    <d v="2026-06-05T21:00:00"/>
    <s v="P-001"/>
    <s v="BR-20"/>
    <x v="0"/>
    <n v="77"/>
    <x v="2"/>
    <n v="450"/>
    <n v="180"/>
    <n v="3.5"/>
    <x v="2"/>
    <n v="8"/>
    <n v="0.12"/>
    <n v="0.02"/>
    <n v="34650"/>
    <n v="33957"/>
    <n v="269.5"/>
    <n v="4074.8399999999997"/>
    <n v="4075"/>
    <n v="13860"/>
    <n v="11947.16"/>
    <n v="0.35183202285243098"/>
  </r>
  <r>
    <s v="ORD-1863"/>
    <d v="2026-06-05T23:00:00"/>
    <s v="P-001"/>
    <s v="BR-20"/>
    <x v="0"/>
    <n v="141"/>
    <x v="2"/>
    <n v="450"/>
    <n v="180"/>
    <n v="3.5"/>
    <x v="2"/>
    <n v="8"/>
    <n v="0.12"/>
    <n v="0.02"/>
    <n v="63450"/>
    <n v="62181"/>
    <n v="493.5"/>
    <n v="7461.7199999999993"/>
    <n v="7462"/>
    <n v="25380"/>
    <n v="21877.279999999999"/>
    <n v="0.35183223171065098"/>
  </r>
  <r>
    <s v="ORD-1865"/>
    <d v="2026-06-06T01:00:00"/>
    <s v="P-001"/>
    <s v="BR-20"/>
    <x v="2"/>
    <n v="177"/>
    <x v="2"/>
    <n v="450"/>
    <n v="180"/>
    <n v="3.5"/>
    <x v="2"/>
    <n v="8"/>
    <n v="0.12"/>
    <n v="0.05"/>
    <n v="79650"/>
    <n v="75668"/>
    <n v="619.5"/>
    <n v="9080.16"/>
    <n v="9080"/>
    <n v="31860"/>
    <n v="25647.839999999997"/>
    <n v="0.338952265158323"/>
  </r>
  <r>
    <s v="ORD-1869"/>
    <d v="2026-06-06T05:00:00"/>
    <s v="P-001"/>
    <s v="BR-20"/>
    <x v="2"/>
    <n v="33"/>
    <x v="2"/>
    <n v="450"/>
    <n v="180"/>
    <n v="3.5"/>
    <x v="2"/>
    <n v="8"/>
    <n v="0.12"/>
    <n v="0.05"/>
    <n v="14850"/>
    <n v="14108"/>
    <n v="115.5"/>
    <n v="1692.96"/>
    <n v="1693"/>
    <n v="5940"/>
    <n v="4782.0400000000009"/>
    <n v="0.338959455628013"/>
  </r>
  <r>
    <s v="ORD-1874"/>
    <d v="2026-06-06T10:00:00"/>
    <s v="P-001"/>
    <s v="BR-20"/>
    <x v="2"/>
    <n v="183"/>
    <x v="2"/>
    <n v="450"/>
    <n v="180"/>
    <n v="3.5"/>
    <x v="2"/>
    <n v="8"/>
    <n v="0.12"/>
    <n v="0.05"/>
    <n v="82350"/>
    <n v="78232"/>
    <n v="640.5"/>
    <n v="9387.84"/>
    <n v="9388"/>
    <n v="32940"/>
    <n v="26516.160000000003"/>
    <n v="0.33894263217097897"/>
  </r>
  <r>
    <s v="ORD-1877"/>
    <d v="2026-06-06T13:00:00"/>
    <s v="P-001"/>
    <s v="BR-20"/>
    <x v="0"/>
    <n v="50"/>
    <x v="2"/>
    <n v="450"/>
    <n v="180"/>
    <n v="3.5"/>
    <x v="2"/>
    <n v="8"/>
    <n v="0.12"/>
    <n v="0.02"/>
    <n v="22500"/>
    <n v="22050"/>
    <n v="175"/>
    <n v="2646"/>
    <n v="2646"/>
    <n v="9000"/>
    <n v="7758"/>
    <n v="0.35183673469387799"/>
  </r>
  <r>
    <s v="ORD-1881"/>
    <d v="2026-06-06T17:00:00"/>
    <s v="P-001"/>
    <s v="BR-20"/>
    <x v="2"/>
    <n v="158"/>
    <x v="2"/>
    <n v="450"/>
    <n v="180"/>
    <n v="3.5"/>
    <x v="2"/>
    <n v="8"/>
    <n v="0.12"/>
    <n v="0.05"/>
    <n v="71100"/>
    <n v="67545"/>
    <n v="553"/>
    <n v="8105.4"/>
    <n v="8105"/>
    <n v="28440"/>
    <n v="22894.6"/>
    <n v="0.33895329039899302"/>
  </r>
  <r>
    <s v="ORD-1908"/>
    <d v="2026-06-07T20:00:00"/>
    <s v="P-001"/>
    <s v="BR-20"/>
    <x v="2"/>
    <n v="142"/>
    <x v="2"/>
    <n v="450"/>
    <n v="180"/>
    <n v="3.5"/>
    <x v="2"/>
    <n v="8"/>
    <n v="0.12"/>
    <n v="0.05"/>
    <n v="63900"/>
    <n v="60705"/>
    <n v="497"/>
    <n v="7284.5999999999995"/>
    <n v="7285"/>
    <n v="25560"/>
    <n v="20575.400000000001"/>
    <n v="0.33894077917799198"/>
  </r>
  <r>
    <s v="ORD-1912"/>
    <d v="2026-06-08T00:00:00"/>
    <s v="P-001"/>
    <s v="BR-20"/>
    <x v="2"/>
    <n v="109"/>
    <x v="2"/>
    <n v="450"/>
    <n v="180"/>
    <n v="3.5"/>
    <x v="2"/>
    <n v="8"/>
    <n v="0.12"/>
    <n v="0.05"/>
    <n v="49050"/>
    <n v="46598"/>
    <n v="381.5"/>
    <n v="5591.76"/>
    <n v="5592"/>
    <n v="19620"/>
    <n v="15794.239999999998"/>
    <n v="0.338946735911412"/>
  </r>
  <r>
    <s v="ORD-1946"/>
    <d v="2026-06-09T10:00:00"/>
    <s v="P-001"/>
    <s v="BR-20"/>
    <x v="1"/>
    <n v="34"/>
    <x v="2"/>
    <n v="450"/>
    <n v="180"/>
    <n v="3.5"/>
    <x v="2"/>
    <n v="8"/>
    <n v="0.12"/>
    <n v="0.1"/>
    <n v="15300"/>
    <n v="13770"/>
    <n v="119"/>
    <n v="1652.3999999999999"/>
    <n v="1652"/>
    <n v="6120"/>
    <n v="4345.6000000000004"/>
    <n v="0.31558460421205498"/>
  </r>
  <r>
    <s v="ORD-1966"/>
    <d v="2026-06-10T06:00:00"/>
    <s v="P-001"/>
    <s v="BR-20"/>
    <x v="1"/>
    <n v="15"/>
    <x v="2"/>
    <n v="450"/>
    <n v="180"/>
    <n v="3.5"/>
    <x v="2"/>
    <n v="8"/>
    <n v="0.12"/>
    <n v="0.1"/>
    <n v="6750"/>
    <n v="6075"/>
    <n v="52.5"/>
    <n v="729"/>
    <n v="729"/>
    <n v="2700"/>
    <n v="1917"/>
    <n v="0.31555555555555598"/>
  </r>
  <r>
    <s v="ORD-1972"/>
    <d v="2026-06-10T12:00:00"/>
    <s v="P-001"/>
    <s v="BR-20"/>
    <x v="1"/>
    <n v="182"/>
    <x v="2"/>
    <n v="450"/>
    <n v="180"/>
    <n v="3.5"/>
    <x v="2"/>
    <n v="8"/>
    <n v="0.12"/>
    <n v="0.1"/>
    <n v="81900"/>
    <n v="73710"/>
    <n v="637"/>
    <n v="8845.1999999999989"/>
    <n v="8845"/>
    <n v="32760"/>
    <n v="23259.800000000003"/>
    <n v="0.31555826889160199"/>
  </r>
  <r>
    <s v="ORD-1978"/>
    <d v="2026-06-10T18:00:00"/>
    <s v="P-001"/>
    <s v="BR-20"/>
    <x v="2"/>
    <n v="10"/>
    <x v="2"/>
    <n v="450"/>
    <n v="180"/>
    <n v="3.5"/>
    <x v="2"/>
    <n v="8"/>
    <n v="0.12"/>
    <n v="0.05"/>
    <n v="4500"/>
    <n v="4275"/>
    <n v="35"/>
    <n v="513"/>
    <n v="513"/>
    <n v="1800"/>
    <n v="1449"/>
    <n v="0.338947368421053"/>
  </r>
  <r>
    <s v="ORD-1983"/>
    <d v="2026-06-10T23:00:00"/>
    <s v="P-001"/>
    <s v="BR-20"/>
    <x v="0"/>
    <n v="26"/>
    <x v="2"/>
    <n v="450"/>
    <n v="180"/>
    <n v="3.5"/>
    <x v="2"/>
    <n v="8"/>
    <n v="0.12"/>
    <n v="0.02"/>
    <n v="11700"/>
    <n v="11466"/>
    <n v="91"/>
    <n v="1375.9199999999998"/>
    <n v="1376"/>
    <n v="4680"/>
    <n v="4034.08"/>
    <n v="0.351829757544043"/>
  </r>
  <r>
    <s v="ORD-1989"/>
    <d v="2026-06-11T05:00:00"/>
    <s v="P-001"/>
    <s v="BR-20"/>
    <x v="2"/>
    <n v="168"/>
    <x v="2"/>
    <n v="450"/>
    <n v="180"/>
    <n v="3.5"/>
    <x v="2"/>
    <n v="8"/>
    <n v="0.12"/>
    <n v="0.05"/>
    <n v="75600"/>
    <n v="71820"/>
    <n v="588"/>
    <n v="8618.4"/>
    <n v="8618"/>
    <n v="30240"/>
    <n v="24343.599999999999"/>
    <n v="0.33895293790030601"/>
  </r>
  <r>
    <s v="ORD-1990"/>
    <d v="2026-06-11T06:00:00"/>
    <s v="P-001"/>
    <s v="BR-20"/>
    <x v="0"/>
    <n v="168"/>
    <x v="2"/>
    <n v="450"/>
    <n v="180"/>
    <n v="3.5"/>
    <x v="2"/>
    <n v="8"/>
    <n v="0.12"/>
    <n v="0.02"/>
    <n v="75600"/>
    <n v="74088"/>
    <n v="588"/>
    <n v="8890.56"/>
    <n v="8891"/>
    <n v="30240"/>
    <n v="26066.440000000002"/>
    <n v="0.35183079581038801"/>
  </r>
  <r>
    <s v="ORD-1004"/>
    <d v="2026-05-01T04:00:00"/>
    <s v="P-001"/>
    <s v="BR-30"/>
    <x v="1"/>
    <n v="67"/>
    <x v="2"/>
    <n v="450"/>
    <n v="180"/>
    <n v="3.5"/>
    <x v="1"/>
    <n v="12.5"/>
    <n v="0.15"/>
    <n v="0.1"/>
    <n v="30150"/>
    <n v="27135"/>
    <n v="234.5"/>
    <n v="4070.25"/>
    <n v="4070"/>
    <n v="12060"/>
    <n v="6934.75"/>
    <n v="0.25556476874884798"/>
  </r>
  <r>
    <s v="ORD-1008"/>
    <d v="2026-05-01T08:00:00"/>
    <s v="P-001"/>
    <s v="BR-30"/>
    <x v="2"/>
    <n v="105"/>
    <x v="2"/>
    <n v="450"/>
    <n v="180"/>
    <n v="3.5"/>
    <x v="1"/>
    <n v="12.5"/>
    <n v="0.15"/>
    <n v="0.05"/>
    <n v="47250"/>
    <n v="44888"/>
    <n v="367.5"/>
    <n v="6733.2"/>
    <n v="6733"/>
    <n v="18900"/>
    <n v="12521.8"/>
    <n v="0.27895651399037602"/>
  </r>
  <r>
    <s v="ORD-1020"/>
    <d v="2026-05-01T20:00:00"/>
    <s v="P-001"/>
    <s v="BR-30"/>
    <x v="1"/>
    <n v="95"/>
    <x v="2"/>
    <n v="450"/>
    <n v="180"/>
    <n v="3.5"/>
    <x v="1"/>
    <n v="12.5"/>
    <n v="0.15"/>
    <n v="0.1"/>
    <n v="42750"/>
    <n v="38475"/>
    <n v="332.5"/>
    <n v="5771.25"/>
    <n v="5771"/>
    <n v="17100"/>
    <n v="9832.75"/>
    <n v="0.25556205328135201"/>
  </r>
  <r>
    <s v="ORD-1022"/>
    <d v="2026-05-01T22:00:00"/>
    <s v="P-001"/>
    <s v="BR-30"/>
    <x v="0"/>
    <n v="69"/>
    <x v="2"/>
    <n v="450"/>
    <n v="180"/>
    <n v="3.5"/>
    <x v="1"/>
    <n v="12.5"/>
    <n v="0.15"/>
    <n v="0.02"/>
    <n v="31050"/>
    <n v="30429"/>
    <n v="241.5"/>
    <n v="4564.3499999999995"/>
    <n v="4564"/>
    <n v="12420"/>
    <n v="8880.6500000000015"/>
    <n v="0.29184823687929301"/>
  </r>
  <r>
    <s v="ORD-1027"/>
    <d v="2026-05-02T03:00:00"/>
    <s v="P-001"/>
    <s v="BR-30"/>
    <x v="2"/>
    <n v="79"/>
    <x v="2"/>
    <n v="450"/>
    <n v="180"/>
    <n v="3.5"/>
    <x v="1"/>
    <n v="12.5"/>
    <n v="0.15"/>
    <n v="0.05"/>
    <n v="35550"/>
    <n v="33772"/>
    <n v="276.5"/>
    <n v="5065.8"/>
    <n v="5066"/>
    <n v="14220"/>
    <n v="9420.2000000000007"/>
    <n v="0.27893521260215598"/>
  </r>
  <r>
    <s v="ORD-1030"/>
    <d v="2026-05-02T06:00:00"/>
    <s v="P-001"/>
    <s v="BR-30"/>
    <x v="2"/>
    <n v="32"/>
    <x v="2"/>
    <n v="450"/>
    <n v="180"/>
    <n v="3.5"/>
    <x v="1"/>
    <n v="12.5"/>
    <n v="0.15"/>
    <n v="0.05"/>
    <n v="14400"/>
    <n v="13680"/>
    <n v="112"/>
    <n v="2052"/>
    <n v="2052"/>
    <n v="5760"/>
    <n v="3816"/>
    <n v="0.278947368421053"/>
  </r>
  <r>
    <s v="ORD-1040"/>
    <d v="2026-05-02T16:00:00"/>
    <s v="P-001"/>
    <s v="BR-30"/>
    <x v="1"/>
    <n v="112"/>
    <x v="2"/>
    <n v="450"/>
    <n v="180"/>
    <n v="3.5"/>
    <x v="1"/>
    <n v="12.5"/>
    <n v="0.15"/>
    <n v="0.1"/>
    <n v="50400"/>
    <n v="45360"/>
    <n v="392"/>
    <n v="6804"/>
    <n v="6804"/>
    <n v="20160"/>
    <n v="11592"/>
    <n v="0.25555555555555598"/>
  </r>
  <r>
    <s v="ORD-1061"/>
    <d v="2026-05-03T13:00:00"/>
    <s v="P-001"/>
    <s v="BR-30"/>
    <x v="2"/>
    <n v="143"/>
    <x v="2"/>
    <n v="450"/>
    <n v="180"/>
    <n v="3.5"/>
    <x v="1"/>
    <n v="12.5"/>
    <n v="0.15"/>
    <n v="0.05"/>
    <n v="64350"/>
    <n v="61132"/>
    <n v="500.5"/>
    <n v="9169.7999999999993"/>
    <n v="9170"/>
    <n v="25740"/>
    <n v="17052.199999999997"/>
    <n v="0.27894065301315202"/>
  </r>
  <r>
    <s v="ORD-1064"/>
    <d v="2026-05-03T16:00:00"/>
    <s v="P-001"/>
    <s v="BR-30"/>
    <x v="1"/>
    <n v="156"/>
    <x v="2"/>
    <n v="450"/>
    <n v="180"/>
    <n v="3.5"/>
    <x v="1"/>
    <n v="12.5"/>
    <n v="0.15"/>
    <n v="0.1"/>
    <n v="70200"/>
    <n v="63180"/>
    <n v="546"/>
    <n v="9477"/>
    <n v="9477"/>
    <n v="28080"/>
    <n v="16146"/>
    <n v="0.25555555555555598"/>
  </r>
  <r>
    <s v="ORD-1077"/>
    <d v="2026-05-04T05:00:00"/>
    <s v="P-001"/>
    <s v="BR-30"/>
    <x v="2"/>
    <n v="44"/>
    <x v="2"/>
    <n v="450"/>
    <n v="180"/>
    <n v="3.5"/>
    <x v="1"/>
    <n v="12.5"/>
    <n v="0.15"/>
    <n v="0.05"/>
    <n v="19800"/>
    <n v="18810"/>
    <n v="154"/>
    <n v="2821.5"/>
    <n v="2822"/>
    <n v="7920"/>
    <n v="5246.5"/>
    <n v="0.27892078681552401"/>
  </r>
  <r>
    <s v="ORD-1080"/>
    <d v="2026-05-04T08:00:00"/>
    <s v="P-001"/>
    <s v="BR-30"/>
    <x v="0"/>
    <n v="160"/>
    <x v="2"/>
    <n v="450"/>
    <n v="180"/>
    <n v="3.5"/>
    <x v="1"/>
    <n v="12.5"/>
    <n v="0.15"/>
    <n v="0.02"/>
    <n v="72000"/>
    <n v="70560"/>
    <n v="560"/>
    <n v="10584"/>
    <n v="10584"/>
    <n v="28800"/>
    <n v="20592"/>
    <n v="0.291836734693878"/>
  </r>
  <r>
    <s v="ORD-1082"/>
    <d v="2026-05-04T10:00:00"/>
    <s v="P-001"/>
    <s v="BR-30"/>
    <x v="1"/>
    <n v="43"/>
    <x v="2"/>
    <n v="450"/>
    <n v="180"/>
    <n v="3.5"/>
    <x v="1"/>
    <n v="12.5"/>
    <n v="0.15"/>
    <n v="0.1"/>
    <n v="19350"/>
    <n v="17415"/>
    <n v="150.5"/>
    <n v="2612.25"/>
    <n v="2612"/>
    <n v="7740"/>
    <n v="4450.75"/>
    <n v="0.25556991099626802"/>
  </r>
  <r>
    <s v="ORD-1086"/>
    <d v="2026-05-04T14:00:00"/>
    <s v="P-001"/>
    <s v="BR-30"/>
    <x v="2"/>
    <n v="15"/>
    <x v="2"/>
    <n v="450"/>
    <n v="180"/>
    <n v="3.5"/>
    <x v="1"/>
    <n v="12.5"/>
    <n v="0.15"/>
    <n v="0.05"/>
    <n v="6750"/>
    <n v="6412"/>
    <n v="52.5"/>
    <n v="961.8"/>
    <n v="962"/>
    <n v="2700"/>
    <n v="1788.1999999999998"/>
    <n v="0.278883343730505"/>
  </r>
  <r>
    <s v="ORD-1088"/>
    <d v="2026-05-04T16:00:00"/>
    <s v="P-001"/>
    <s v="BR-30"/>
    <x v="2"/>
    <n v="175"/>
    <x v="2"/>
    <n v="450"/>
    <n v="180"/>
    <n v="3.5"/>
    <x v="1"/>
    <n v="12.5"/>
    <n v="0.15"/>
    <n v="0.05"/>
    <n v="78750"/>
    <n v="74812"/>
    <n v="612.5"/>
    <n v="11221.8"/>
    <n v="11222"/>
    <n v="31500"/>
    <n v="20868.199999999997"/>
    <n v="0.27894188098166101"/>
  </r>
  <r>
    <s v="ORD-1090"/>
    <d v="2026-05-04T18:00:00"/>
    <s v="P-001"/>
    <s v="BR-30"/>
    <x v="0"/>
    <n v="13"/>
    <x v="2"/>
    <n v="450"/>
    <n v="180"/>
    <n v="3.5"/>
    <x v="1"/>
    <n v="12.5"/>
    <n v="0.15"/>
    <n v="0.02"/>
    <n v="5850"/>
    <n v="5733"/>
    <n v="45.5"/>
    <n v="859.94999999999993"/>
    <n v="860"/>
    <n v="2340"/>
    <n v="1673.0500000000002"/>
    <n v="0.29182801325658497"/>
  </r>
  <r>
    <s v="ORD-1099"/>
    <d v="2026-05-05T03:00:00"/>
    <s v="P-001"/>
    <s v="BR-30"/>
    <x v="1"/>
    <n v="178"/>
    <x v="2"/>
    <n v="450"/>
    <n v="180"/>
    <n v="3.5"/>
    <x v="1"/>
    <n v="12.5"/>
    <n v="0.15"/>
    <n v="0.1"/>
    <n v="80100"/>
    <n v="72090"/>
    <n v="623"/>
    <n v="10813.5"/>
    <n v="10814"/>
    <n v="32040"/>
    <n v="18422.5"/>
    <n v="0.25554861978082999"/>
  </r>
  <r>
    <s v="ORD-1124"/>
    <d v="2026-05-06T04:00:00"/>
    <s v="P-001"/>
    <s v="BR-30"/>
    <x v="2"/>
    <n v="85"/>
    <x v="2"/>
    <n v="450"/>
    <n v="180"/>
    <n v="3.5"/>
    <x v="1"/>
    <n v="12.5"/>
    <n v="0.15"/>
    <n v="0.05"/>
    <n v="38250"/>
    <n v="36338"/>
    <n v="297.5"/>
    <n v="5450.7"/>
    <n v="5451"/>
    <n v="15300"/>
    <n v="10136.299999999999"/>
    <n v="0.27894490615884199"/>
  </r>
  <r>
    <s v="ORD-1125"/>
    <d v="2026-05-06T05:00:00"/>
    <s v="P-001"/>
    <s v="BR-30"/>
    <x v="0"/>
    <n v="104"/>
    <x v="2"/>
    <n v="450"/>
    <n v="180"/>
    <n v="3.5"/>
    <x v="1"/>
    <n v="12.5"/>
    <n v="0.15"/>
    <n v="0.02"/>
    <n v="46800"/>
    <n v="45864"/>
    <n v="364"/>
    <n v="6879.5999999999995"/>
    <n v="6880"/>
    <n v="18720"/>
    <n v="13384.400000000001"/>
    <n v="0.29182801325658497"/>
  </r>
  <r>
    <s v="ORD-1127"/>
    <d v="2026-05-06T07:00:00"/>
    <s v="P-001"/>
    <s v="BR-30"/>
    <x v="1"/>
    <n v="199"/>
    <x v="2"/>
    <n v="450"/>
    <n v="180"/>
    <n v="3.5"/>
    <x v="1"/>
    <n v="12.5"/>
    <n v="0.15"/>
    <n v="0.1"/>
    <n v="89550"/>
    <n v="80595"/>
    <n v="696.5"/>
    <n v="12089.25"/>
    <n v="12089"/>
    <n v="35820"/>
    <n v="20596.75"/>
    <n v="0.25555865748495599"/>
  </r>
  <r>
    <s v="ORD-1128"/>
    <d v="2026-05-06T08:00:00"/>
    <s v="P-001"/>
    <s v="BR-30"/>
    <x v="2"/>
    <n v="158"/>
    <x v="2"/>
    <n v="450"/>
    <n v="180"/>
    <n v="3.5"/>
    <x v="1"/>
    <n v="12.5"/>
    <n v="0.15"/>
    <n v="0.05"/>
    <n v="71100"/>
    <n v="67545"/>
    <n v="553"/>
    <n v="10131.75"/>
    <n v="10132"/>
    <n v="28440"/>
    <n v="18841.25"/>
    <n v="0.27894366718483998"/>
  </r>
  <r>
    <s v="ORD-1130"/>
    <d v="2026-05-06T10:00:00"/>
    <s v="P-001"/>
    <s v="BR-30"/>
    <x v="2"/>
    <n v="125"/>
    <x v="2"/>
    <n v="450"/>
    <n v="180"/>
    <n v="3.5"/>
    <x v="1"/>
    <n v="12.5"/>
    <n v="0.15"/>
    <n v="0.05"/>
    <n v="56250"/>
    <n v="53438"/>
    <n v="437.5"/>
    <n v="8015.7"/>
    <n v="8016"/>
    <n v="22500"/>
    <n v="14906.300000000003"/>
    <n v="0.278945694075377"/>
  </r>
  <r>
    <s v="ORD-1137"/>
    <d v="2026-05-06T17:00:00"/>
    <s v="P-001"/>
    <s v="BR-30"/>
    <x v="0"/>
    <n v="194"/>
    <x v="2"/>
    <n v="450"/>
    <n v="180"/>
    <n v="3.5"/>
    <x v="1"/>
    <n v="12.5"/>
    <n v="0.15"/>
    <n v="0.02"/>
    <n v="87300"/>
    <n v="85554"/>
    <n v="679"/>
    <n v="12833.1"/>
    <n v="12833"/>
    <n v="34920"/>
    <n v="24967.9"/>
    <n v="0.29183790354629802"/>
  </r>
  <r>
    <s v="ORD-1171"/>
    <d v="2026-05-08T03:00:00"/>
    <s v="P-001"/>
    <s v="BR-30"/>
    <x v="0"/>
    <n v="199"/>
    <x v="2"/>
    <n v="450"/>
    <n v="180"/>
    <n v="3.5"/>
    <x v="1"/>
    <n v="12.5"/>
    <n v="0.15"/>
    <n v="0.02"/>
    <n v="89550"/>
    <n v="87759"/>
    <n v="696.5"/>
    <n v="13163.85"/>
    <n v="13164"/>
    <n v="35820"/>
    <n v="25611.15"/>
    <n v="0.29183502546747297"/>
  </r>
  <r>
    <s v="ORD-1220"/>
    <d v="2026-05-10T04:00:00"/>
    <s v="P-001"/>
    <s v="BR-30"/>
    <x v="0"/>
    <n v="39"/>
    <x v="2"/>
    <n v="450"/>
    <n v="180"/>
    <n v="3.5"/>
    <x v="1"/>
    <n v="12.5"/>
    <n v="0.15"/>
    <n v="0.02"/>
    <n v="17550"/>
    <n v="17199"/>
    <n v="136.5"/>
    <n v="2579.85"/>
    <n v="2580"/>
    <n v="7020"/>
    <n v="5019.1499999999996"/>
    <n v="0.29182801325658497"/>
  </r>
  <r>
    <s v="ORD-1223"/>
    <d v="2026-05-10T07:00:00"/>
    <s v="P-001"/>
    <s v="BR-30"/>
    <x v="0"/>
    <n v="183"/>
    <x v="2"/>
    <n v="450"/>
    <n v="180"/>
    <n v="3.5"/>
    <x v="1"/>
    <n v="12.5"/>
    <n v="0.15"/>
    <n v="0.02"/>
    <n v="82350"/>
    <n v="80703"/>
    <n v="640.5"/>
    <n v="12105.449999999999"/>
    <n v="12105"/>
    <n v="32940"/>
    <n v="23552.550000000003"/>
    <n v="0.29184231069477001"/>
  </r>
  <r>
    <s v="ORD-1227"/>
    <d v="2026-05-10T11:00:00"/>
    <s v="P-001"/>
    <s v="BR-30"/>
    <x v="2"/>
    <n v="187"/>
    <x v="2"/>
    <n v="450"/>
    <n v="180"/>
    <n v="3.5"/>
    <x v="1"/>
    <n v="12.5"/>
    <n v="0.15"/>
    <n v="0.05"/>
    <n v="84150"/>
    <n v="79942"/>
    <n v="654.5"/>
    <n v="11991.3"/>
    <n v="11991"/>
    <n v="33660"/>
    <n v="22299.699999999997"/>
    <n v="0.27894848765354902"/>
  </r>
  <r>
    <s v="ORD-1229"/>
    <d v="2026-05-10T13:00:00"/>
    <s v="P-001"/>
    <s v="BR-30"/>
    <x v="0"/>
    <n v="176"/>
    <x v="2"/>
    <n v="450"/>
    <n v="180"/>
    <n v="3.5"/>
    <x v="1"/>
    <n v="12.5"/>
    <n v="0.15"/>
    <n v="0.02"/>
    <n v="79200"/>
    <n v="77616"/>
    <n v="616"/>
    <n v="11642.4"/>
    <n v="11642"/>
    <n v="31680"/>
    <n v="22651.599999999999"/>
    <n v="0.29184188827045998"/>
  </r>
  <r>
    <s v="ORD-1237"/>
    <d v="2026-05-10T21:00:00"/>
    <s v="P-001"/>
    <s v="BR-30"/>
    <x v="0"/>
    <n v="80"/>
    <x v="2"/>
    <n v="450"/>
    <n v="180"/>
    <n v="3.5"/>
    <x v="1"/>
    <n v="12.5"/>
    <n v="0.15"/>
    <n v="0.02"/>
    <n v="36000"/>
    <n v="35280"/>
    <n v="280"/>
    <n v="5292"/>
    <n v="5292"/>
    <n v="14400"/>
    <n v="10296"/>
    <n v="0.291836734693878"/>
  </r>
  <r>
    <s v="ORD-1239"/>
    <d v="2026-05-10T23:00:00"/>
    <s v="P-001"/>
    <s v="BR-30"/>
    <x v="0"/>
    <n v="138"/>
    <x v="2"/>
    <n v="450"/>
    <n v="180"/>
    <n v="3.5"/>
    <x v="1"/>
    <n v="12.5"/>
    <n v="0.15"/>
    <n v="0.02"/>
    <n v="62100"/>
    <n v="60858"/>
    <n v="483"/>
    <n v="9128.6999999999989"/>
    <n v="9129"/>
    <n v="24840"/>
    <n v="17760.300000000003"/>
    <n v="0.29183180518584201"/>
  </r>
  <r>
    <s v="ORD-1245"/>
    <d v="2026-05-11T05:00:00"/>
    <s v="P-001"/>
    <s v="BR-30"/>
    <x v="1"/>
    <n v="93"/>
    <x v="2"/>
    <n v="450"/>
    <n v="180"/>
    <n v="3.5"/>
    <x v="1"/>
    <n v="12.5"/>
    <n v="0.15"/>
    <n v="0.1"/>
    <n v="41850"/>
    <n v="37665"/>
    <n v="325.5"/>
    <n v="5649.75"/>
    <n v="5650"/>
    <n v="16740"/>
    <n v="9625.25"/>
    <n v="0.25554891809372099"/>
  </r>
  <r>
    <s v="ORD-1249"/>
    <d v="2026-05-11T09:00:00"/>
    <s v="P-001"/>
    <s v="BR-30"/>
    <x v="0"/>
    <n v="111"/>
    <x v="2"/>
    <n v="450"/>
    <n v="180"/>
    <n v="3.5"/>
    <x v="1"/>
    <n v="12.5"/>
    <n v="0.15"/>
    <n v="0.02"/>
    <n v="49950"/>
    <n v="48951"/>
    <n v="388.5"/>
    <n v="7342.65"/>
    <n v="7343"/>
    <n v="19980"/>
    <n v="14285.349999999999"/>
    <n v="0.29182958468672798"/>
  </r>
  <r>
    <s v="ORD-1254"/>
    <d v="2026-05-11T14:00:00"/>
    <s v="P-001"/>
    <s v="BR-30"/>
    <x v="1"/>
    <n v="173"/>
    <x v="2"/>
    <n v="450"/>
    <n v="180"/>
    <n v="3.5"/>
    <x v="1"/>
    <n v="12.5"/>
    <n v="0.15"/>
    <n v="0.1"/>
    <n v="77850"/>
    <n v="70065"/>
    <n v="605.5"/>
    <n v="10509.75"/>
    <n v="10510"/>
    <n v="31140"/>
    <n v="17905.25"/>
    <n v="0.255551987440234"/>
  </r>
  <r>
    <s v="ORD-1259"/>
    <d v="2026-05-11T19:00:00"/>
    <s v="P-001"/>
    <s v="BR-30"/>
    <x v="0"/>
    <n v="176"/>
    <x v="2"/>
    <n v="450"/>
    <n v="180"/>
    <n v="3.5"/>
    <x v="1"/>
    <n v="12.5"/>
    <n v="0.15"/>
    <n v="0.02"/>
    <n v="79200"/>
    <n v="77616"/>
    <n v="616"/>
    <n v="11642.4"/>
    <n v="11642"/>
    <n v="31680"/>
    <n v="22651.599999999999"/>
    <n v="0.29184188827045998"/>
  </r>
  <r>
    <s v="ORD-1261"/>
    <d v="2026-05-11T21:00:00"/>
    <s v="P-001"/>
    <s v="BR-30"/>
    <x v="2"/>
    <n v="193"/>
    <x v="2"/>
    <n v="450"/>
    <n v="180"/>
    <n v="3.5"/>
    <x v="1"/>
    <n v="12.5"/>
    <n v="0.15"/>
    <n v="0.05"/>
    <n v="86850"/>
    <n v="82508"/>
    <n v="675.5"/>
    <n v="12376.199999999999"/>
    <n v="12376"/>
    <n v="34740"/>
    <n v="23015.800000000003"/>
    <n v="0.27895234401512597"/>
  </r>
  <r>
    <s v="ORD-1280"/>
    <d v="2026-05-12T16:00:00"/>
    <s v="P-001"/>
    <s v="BR-30"/>
    <x v="2"/>
    <n v="130"/>
    <x v="2"/>
    <n v="450"/>
    <n v="180"/>
    <n v="3.5"/>
    <x v="1"/>
    <n v="12.5"/>
    <n v="0.15"/>
    <n v="0.05"/>
    <n v="58500"/>
    <n v="55575"/>
    <n v="455"/>
    <n v="8336.25"/>
    <n v="8336"/>
    <n v="23400"/>
    <n v="15502.75"/>
    <n v="0.278951866846604"/>
  </r>
  <r>
    <s v="ORD-1294"/>
    <d v="2026-05-13T06:00:00"/>
    <s v="P-001"/>
    <s v="BR-30"/>
    <x v="1"/>
    <n v="23"/>
    <x v="2"/>
    <n v="450"/>
    <n v="180"/>
    <n v="3.5"/>
    <x v="1"/>
    <n v="12.5"/>
    <n v="0.15"/>
    <n v="0.1"/>
    <n v="10350"/>
    <n v="9315"/>
    <n v="80.5"/>
    <n v="1397.25"/>
    <n v="1397"/>
    <n v="4140"/>
    <n v="2380.75"/>
    <n v="0.25558239398819099"/>
  </r>
  <r>
    <s v="ORD-1337"/>
    <d v="2026-05-15T01:00:00"/>
    <s v="P-001"/>
    <s v="BR-30"/>
    <x v="1"/>
    <n v="45"/>
    <x v="2"/>
    <n v="450"/>
    <n v="180"/>
    <n v="3.5"/>
    <x v="1"/>
    <n v="12.5"/>
    <n v="0.15"/>
    <n v="0.1"/>
    <n v="20250"/>
    <n v="18225"/>
    <n v="157.5"/>
    <n v="2733.75"/>
    <n v="2734"/>
    <n v="8100"/>
    <n v="4657.25"/>
    <n v="0.25554183813443099"/>
  </r>
  <r>
    <s v="ORD-1353"/>
    <d v="2026-05-15T17:00:00"/>
    <s v="P-001"/>
    <s v="BR-30"/>
    <x v="0"/>
    <n v="155"/>
    <x v="2"/>
    <n v="450"/>
    <n v="180"/>
    <n v="3.5"/>
    <x v="1"/>
    <n v="12.5"/>
    <n v="0.15"/>
    <n v="0.02"/>
    <n v="69750"/>
    <n v="68355"/>
    <n v="542.5"/>
    <n v="10253.25"/>
    <n v="10253"/>
    <n v="27900"/>
    <n v="19948.75"/>
    <n v="0.29184039207080698"/>
  </r>
  <r>
    <s v="ORD-1369"/>
    <d v="2026-05-16T09:00:00"/>
    <s v="P-001"/>
    <s v="BR-30"/>
    <x v="2"/>
    <n v="12"/>
    <x v="2"/>
    <n v="450"/>
    <n v="180"/>
    <n v="3.5"/>
    <x v="1"/>
    <n v="12.5"/>
    <n v="0.15"/>
    <n v="0.05"/>
    <n v="5400"/>
    <n v="5130"/>
    <n v="42"/>
    <n v="769.5"/>
    <n v="770"/>
    <n v="2160"/>
    <n v="1430.5"/>
    <n v="0.27884990253411301"/>
  </r>
  <r>
    <s v="ORD-1394"/>
    <d v="2026-05-17T10:00:00"/>
    <s v="P-001"/>
    <s v="BR-30"/>
    <x v="1"/>
    <n v="110"/>
    <x v="2"/>
    <n v="450"/>
    <n v="180"/>
    <n v="3.5"/>
    <x v="1"/>
    <n v="12.5"/>
    <n v="0.15"/>
    <n v="0.1"/>
    <n v="49500"/>
    <n v="44550"/>
    <n v="385"/>
    <n v="6682.5"/>
    <n v="6682"/>
    <n v="19800"/>
    <n v="11385.5"/>
    <n v="0.25556677890011198"/>
  </r>
  <r>
    <s v="ORD-1447"/>
    <d v="2026-05-19T15:00:00"/>
    <s v="P-001"/>
    <s v="BR-30"/>
    <x v="1"/>
    <n v="61"/>
    <x v="2"/>
    <n v="450"/>
    <n v="180"/>
    <n v="3.5"/>
    <x v="1"/>
    <n v="12.5"/>
    <n v="0.15"/>
    <n v="0.1"/>
    <n v="27450"/>
    <n v="24705"/>
    <n v="213.5"/>
    <n v="3705.75"/>
    <n v="3706"/>
    <n v="10980"/>
    <n v="6313.25"/>
    <n v="0.25554543614652903"/>
  </r>
  <r>
    <s v="ORD-1464"/>
    <d v="2026-05-20T08:00:00"/>
    <s v="P-001"/>
    <s v="BR-30"/>
    <x v="0"/>
    <n v="186"/>
    <x v="2"/>
    <n v="450"/>
    <n v="180"/>
    <n v="3.5"/>
    <x v="1"/>
    <n v="12.5"/>
    <n v="0.15"/>
    <n v="0.02"/>
    <n v="83700"/>
    <n v="82026"/>
    <n v="651"/>
    <n v="12303.9"/>
    <n v="12304"/>
    <n v="33480"/>
    <n v="23938.1"/>
    <n v="0.29183551556823401"/>
  </r>
  <r>
    <s v="ORD-1477"/>
    <d v="2026-05-20T21:00:00"/>
    <s v="P-001"/>
    <s v="BR-30"/>
    <x v="1"/>
    <n v="39"/>
    <x v="2"/>
    <n v="450"/>
    <n v="180"/>
    <n v="3.5"/>
    <x v="1"/>
    <n v="12.5"/>
    <n v="0.15"/>
    <n v="0.1"/>
    <n v="17550"/>
    <n v="15795"/>
    <n v="136.5"/>
    <n v="2369.25"/>
    <n v="2369"/>
    <n v="7020"/>
    <n v="4036.75"/>
    <n v="0.25557138334916102"/>
  </r>
  <r>
    <s v="ORD-1484"/>
    <d v="2026-05-21T04:00:00"/>
    <s v="P-001"/>
    <s v="BR-30"/>
    <x v="0"/>
    <n v="128"/>
    <x v="2"/>
    <n v="450"/>
    <n v="180"/>
    <n v="3.5"/>
    <x v="1"/>
    <n v="12.5"/>
    <n v="0.15"/>
    <n v="0.02"/>
    <n v="57600"/>
    <n v="56448"/>
    <n v="448"/>
    <n v="8467.1999999999989"/>
    <n v="8467"/>
    <n v="23040"/>
    <n v="16473.800000000003"/>
    <n v="0.29184027777777799"/>
  </r>
  <r>
    <s v="ORD-1489"/>
    <d v="2026-05-21T09:00:00"/>
    <s v="P-001"/>
    <s v="BR-30"/>
    <x v="1"/>
    <n v="120"/>
    <x v="2"/>
    <n v="450"/>
    <n v="180"/>
    <n v="3.5"/>
    <x v="1"/>
    <n v="12.5"/>
    <n v="0.15"/>
    <n v="0.1"/>
    <n v="54000"/>
    <n v="48600"/>
    <n v="420"/>
    <n v="7290"/>
    <n v="7290"/>
    <n v="21600"/>
    <n v="12420"/>
    <n v="0.25555555555555598"/>
  </r>
  <r>
    <s v="ORD-1498"/>
    <d v="2026-05-21T18:00:00"/>
    <s v="P-001"/>
    <s v="BR-30"/>
    <x v="0"/>
    <n v="110"/>
    <x v="2"/>
    <n v="450"/>
    <n v="180"/>
    <n v="3.5"/>
    <x v="1"/>
    <n v="12.5"/>
    <n v="0.15"/>
    <n v="0.02"/>
    <n v="49500"/>
    <n v="48510"/>
    <n v="385"/>
    <n v="7276.5"/>
    <n v="7276"/>
    <n v="19800"/>
    <n v="14157.5"/>
    <n v="0.29184704184704202"/>
  </r>
  <r>
    <s v="ORD-1507"/>
    <d v="2026-05-22T03:00:00"/>
    <s v="P-001"/>
    <s v="BR-30"/>
    <x v="2"/>
    <n v="11"/>
    <x v="2"/>
    <n v="450"/>
    <n v="180"/>
    <n v="3.5"/>
    <x v="1"/>
    <n v="12.5"/>
    <n v="0.15"/>
    <n v="0.05"/>
    <n v="4950"/>
    <n v="4702"/>
    <n v="38.5"/>
    <n v="705.3"/>
    <n v="705"/>
    <n v="1980"/>
    <n v="1311.6999999999998"/>
    <n v="0.27896639727775402"/>
  </r>
  <r>
    <s v="ORD-1512"/>
    <d v="2026-05-22T08:00:00"/>
    <s v="P-001"/>
    <s v="BR-30"/>
    <x v="1"/>
    <n v="179"/>
    <x v="2"/>
    <n v="450"/>
    <n v="180"/>
    <n v="3.5"/>
    <x v="1"/>
    <n v="12.5"/>
    <n v="0.15"/>
    <n v="0.1"/>
    <n v="80550"/>
    <n v="72495"/>
    <n v="626.5"/>
    <n v="10874.25"/>
    <n v="10874"/>
    <n v="32220"/>
    <n v="18526.75"/>
    <n v="0.25555900406924598"/>
  </r>
  <r>
    <s v="ORD-1514"/>
    <d v="2026-05-22T10:00:00"/>
    <s v="P-001"/>
    <s v="BR-30"/>
    <x v="1"/>
    <n v="142"/>
    <x v="2"/>
    <n v="450"/>
    <n v="180"/>
    <n v="3.5"/>
    <x v="1"/>
    <n v="12.5"/>
    <n v="0.15"/>
    <n v="0.1"/>
    <n v="63900"/>
    <n v="57510"/>
    <n v="497"/>
    <n v="8626.5"/>
    <n v="8626"/>
    <n v="25560"/>
    <n v="14697.5"/>
    <n v="0.25556424969570501"/>
  </r>
  <r>
    <s v="ORD-1521"/>
    <d v="2026-05-22T17:00:00"/>
    <s v="P-001"/>
    <s v="BR-30"/>
    <x v="0"/>
    <n v="98"/>
    <x v="2"/>
    <n v="450"/>
    <n v="180"/>
    <n v="3.5"/>
    <x v="1"/>
    <n v="12.5"/>
    <n v="0.15"/>
    <n v="0.02"/>
    <n v="44100"/>
    <n v="43218"/>
    <n v="343"/>
    <n v="6482.7"/>
    <n v="6483"/>
    <n v="17640"/>
    <n v="12612.3"/>
    <n v="0.29182979314174601"/>
  </r>
  <r>
    <s v="ORD-1549"/>
    <d v="2026-05-23T21:00:00"/>
    <s v="P-001"/>
    <s v="BR-30"/>
    <x v="0"/>
    <n v="196"/>
    <x v="2"/>
    <n v="450"/>
    <n v="180"/>
    <n v="3.5"/>
    <x v="1"/>
    <n v="12.5"/>
    <n v="0.15"/>
    <n v="0.02"/>
    <n v="88200"/>
    <n v="86436"/>
    <n v="686"/>
    <n v="12965.4"/>
    <n v="12965"/>
    <n v="35280"/>
    <n v="25225.599999999999"/>
    <n v="0.29184136239529801"/>
  </r>
  <r>
    <s v="ORD-1563"/>
    <d v="2026-05-24T11:00:00"/>
    <s v="P-001"/>
    <s v="BR-30"/>
    <x v="2"/>
    <n v="133"/>
    <x v="2"/>
    <n v="450"/>
    <n v="180"/>
    <n v="3.5"/>
    <x v="1"/>
    <n v="12.5"/>
    <n v="0.15"/>
    <n v="0.05"/>
    <n v="59850"/>
    <n v="56858"/>
    <n v="465.5"/>
    <n v="8528.6999999999989"/>
    <n v="8529"/>
    <n v="23940"/>
    <n v="15860.300000000003"/>
    <n v="0.27894579478701298"/>
  </r>
  <r>
    <s v="ORD-1576"/>
    <d v="2026-05-25T00:00:00"/>
    <s v="P-001"/>
    <s v="BR-30"/>
    <x v="0"/>
    <n v="113"/>
    <x v="2"/>
    <n v="450"/>
    <n v="180"/>
    <n v="3.5"/>
    <x v="1"/>
    <n v="12.5"/>
    <n v="0.15"/>
    <n v="0.02"/>
    <n v="50850"/>
    <n v="49833"/>
    <n v="395.5"/>
    <n v="7474.95"/>
    <n v="7475"/>
    <n v="20340"/>
    <n v="14543.050000000003"/>
    <n v="0.29183573134268498"/>
  </r>
  <r>
    <s v="ORD-1578"/>
    <d v="2026-05-25T02:00:00"/>
    <s v="P-001"/>
    <s v="BR-30"/>
    <x v="2"/>
    <n v="47"/>
    <x v="2"/>
    <n v="450"/>
    <n v="180"/>
    <n v="3.5"/>
    <x v="1"/>
    <n v="12.5"/>
    <n v="0.15"/>
    <n v="0.05"/>
    <n v="21150"/>
    <n v="20092"/>
    <n v="164.5"/>
    <n v="3013.7999999999997"/>
    <n v="3014"/>
    <n v="8460"/>
    <n v="5604.2000000000007"/>
    <n v="0.27892693609396801"/>
  </r>
  <r>
    <s v="ORD-1608"/>
    <d v="2026-05-26T08:00:00"/>
    <s v="P-001"/>
    <s v="BR-30"/>
    <x v="1"/>
    <n v="116"/>
    <x v="2"/>
    <n v="450"/>
    <n v="180"/>
    <n v="3.5"/>
    <x v="1"/>
    <n v="12.5"/>
    <n v="0.15"/>
    <n v="0.1"/>
    <n v="52200"/>
    <n v="46980"/>
    <n v="406"/>
    <n v="7047"/>
    <n v="7047"/>
    <n v="20880"/>
    <n v="12006"/>
    <n v="0.25555555555555598"/>
  </r>
  <r>
    <s v="ORD-1635"/>
    <d v="2026-05-27T11:00:00"/>
    <s v="P-001"/>
    <s v="BR-30"/>
    <x v="0"/>
    <n v="118"/>
    <x v="2"/>
    <n v="450"/>
    <n v="180"/>
    <n v="3.5"/>
    <x v="1"/>
    <n v="12.5"/>
    <n v="0.15"/>
    <n v="0.02"/>
    <n v="53100"/>
    <n v="52038"/>
    <n v="413"/>
    <n v="7805.7"/>
    <n v="7806"/>
    <n v="21240"/>
    <n v="15186.300000000003"/>
    <n v="0.29183096967600602"/>
  </r>
  <r>
    <s v="ORD-1663"/>
    <d v="2026-05-28T15:00:00"/>
    <s v="P-001"/>
    <s v="BR-30"/>
    <x v="1"/>
    <n v="140"/>
    <x v="2"/>
    <n v="450"/>
    <n v="180"/>
    <n v="3.5"/>
    <x v="1"/>
    <n v="12.5"/>
    <n v="0.15"/>
    <n v="0.1"/>
    <n v="63000"/>
    <n v="56700"/>
    <n v="490"/>
    <n v="8505"/>
    <n v="8505"/>
    <n v="25200"/>
    <n v="14490"/>
    <n v="0.25555555555555598"/>
  </r>
  <r>
    <s v="ORD-1672"/>
    <d v="2026-05-29T00:00:00"/>
    <s v="P-001"/>
    <s v="BR-30"/>
    <x v="0"/>
    <n v="19"/>
    <x v="2"/>
    <n v="450"/>
    <n v="180"/>
    <n v="3.5"/>
    <x v="1"/>
    <n v="12.5"/>
    <n v="0.15"/>
    <n v="0.02"/>
    <n v="8550"/>
    <n v="8379"/>
    <n v="66.5"/>
    <n v="1256.8499999999999"/>
    <n v="1257"/>
    <n v="3420"/>
    <n v="2445.1499999999996"/>
    <n v="0.29181883279627602"/>
  </r>
  <r>
    <s v="ORD-1673"/>
    <d v="2026-05-29T01:00:00"/>
    <s v="P-001"/>
    <s v="BR-30"/>
    <x v="2"/>
    <n v="23"/>
    <x v="2"/>
    <n v="450"/>
    <n v="180"/>
    <n v="3.5"/>
    <x v="1"/>
    <n v="12.5"/>
    <n v="0.15"/>
    <n v="0.05"/>
    <n v="10350"/>
    <n v="9832"/>
    <n v="80.5"/>
    <n v="1474.8"/>
    <n v="1475"/>
    <n v="4140"/>
    <n v="2742.2"/>
    <n v="0.27890561432058603"/>
  </r>
  <r>
    <s v="ORD-1682"/>
    <d v="2026-05-29T10:00:00"/>
    <s v="P-001"/>
    <s v="BR-30"/>
    <x v="2"/>
    <n v="191"/>
    <x v="2"/>
    <n v="450"/>
    <n v="180"/>
    <n v="3.5"/>
    <x v="1"/>
    <n v="12.5"/>
    <n v="0.15"/>
    <n v="0.05"/>
    <n v="85950"/>
    <n v="81652"/>
    <n v="668.5"/>
    <n v="12247.8"/>
    <n v="12248"/>
    <n v="34380"/>
    <n v="22776.199999999997"/>
    <n v="0.27894234066526202"/>
  </r>
  <r>
    <s v="ORD-1690"/>
    <d v="2026-05-29T18:00:00"/>
    <s v="P-001"/>
    <s v="BR-30"/>
    <x v="2"/>
    <n v="44"/>
    <x v="2"/>
    <n v="450"/>
    <n v="180"/>
    <n v="3.5"/>
    <x v="1"/>
    <n v="12.5"/>
    <n v="0.15"/>
    <n v="0.05"/>
    <n v="19800"/>
    <n v="18810"/>
    <n v="154"/>
    <n v="2821.5"/>
    <n v="2822"/>
    <n v="7920"/>
    <n v="5246.5"/>
    <n v="0.27892078681552401"/>
  </r>
  <r>
    <s v="ORD-1696"/>
    <d v="2026-05-30T00:00:00"/>
    <s v="P-001"/>
    <s v="BR-30"/>
    <x v="1"/>
    <n v="126"/>
    <x v="2"/>
    <n v="450"/>
    <n v="180"/>
    <n v="3.5"/>
    <x v="1"/>
    <n v="12.5"/>
    <n v="0.15"/>
    <n v="0.1"/>
    <n v="56700"/>
    <n v="51030"/>
    <n v="441"/>
    <n v="7654.5"/>
    <n v="7654"/>
    <n v="22680"/>
    <n v="13041.5"/>
    <n v="0.25556535371350197"/>
  </r>
  <r>
    <s v="ORD-1698"/>
    <d v="2026-05-30T02:00:00"/>
    <s v="P-001"/>
    <s v="BR-30"/>
    <x v="0"/>
    <n v="107"/>
    <x v="2"/>
    <n v="450"/>
    <n v="180"/>
    <n v="3.5"/>
    <x v="1"/>
    <n v="12.5"/>
    <n v="0.15"/>
    <n v="0.02"/>
    <n v="48150"/>
    <n v="47187"/>
    <n v="374.5"/>
    <n v="7078.05"/>
    <n v="7078"/>
    <n v="19260"/>
    <n v="13770.949999999997"/>
    <n v="0.29183779430775397"/>
  </r>
  <r>
    <s v="ORD-1701"/>
    <d v="2026-05-30T05:00:00"/>
    <s v="P-001"/>
    <s v="BR-30"/>
    <x v="1"/>
    <n v="139"/>
    <x v="2"/>
    <n v="450"/>
    <n v="180"/>
    <n v="3.5"/>
    <x v="1"/>
    <n v="12.5"/>
    <n v="0.15"/>
    <n v="0.1"/>
    <n v="62550"/>
    <n v="56295"/>
    <n v="486.5"/>
    <n v="8444.25"/>
    <n v="8444"/>
    <n v="25020"/>
    <n v="14386.75"/>
    <n v="0.255559996447287"/>
  </r>
  <r>
    <s v="ORD-1716"/>
    <d v="2026-05-30T20:00:00"/>
    <s v="P-001"/>
    <s v="BR-30"/>
    <x v="1"/>
    <n v="90"/>
    <x v="2"/>
    <n v="450"/>
    <n v="180"/>
    <n v="3.5"/>
    <x v="1"/>
    <n v="12.5"/>
    <n v="0.15"/>
    <n v="0.1"/>
    <n v="40500"/>
    <n v="36450"/>
    <n v="315"/>
    <n v="5467.5"/>
    <n v="5468"/>
    <n v="16200"/>
    <n v="9314.5"/>
    <n v="0.25554183813443099"/>
  </r>
  <r>
    <s v="ORD-1719"/>
    <d v="2026-05-30T23:00:00"/>
    <s v="P-001"/>
    <s v="BR-30"/>
    <x v="1"/>
    <n v="111"/>
    <x v="2"/>
    <n v="450"/>
    <n v="180"/>
    <n v="3.5"/>
    <x v="1"/>
    <n v="12.5"/>
    <n v="0.15"/>
    <n v="0.1"/>
    <n v="49950"/>
    <n v="44955"/>
    <n v="388.5"/>
    <n v="6743.25"/>
    <n v="6743"/>
    <n v="19980"/>
    <n v="11488.75"/>
    <n v="0.25556111667222797"/>
  </r>
  <r>
    <s v="ORD-1727"/>
    <d v="2026-05-31T07:00:00"/>
    <s v="P-001"/>
    <s v="BR-30"/>
    <x v="0"/>
    <n v="14"/>
    <x v="2"/>
    <n v="450"/>
    <n v="180"/>
    <n v="3.5"/>
    <x v="1"/>
    <n v="12.5"/>
    <n v="0.15"/>
    <n v="0.02"/>
    <n v="6300"/>
    <n v="6174"/>
    <n v="49"/>
    <n v="926.09999999999991"/>
    <n v="926"/>
    <n v="2520"/>
    <n v="1801.8999999999996"/>
    <n v="0.29185293164885001"/>
  </r>
  <r>
    <s v="ORD-1734"/>
    <d v="2026-05-31T14:00:00"/>
    <s v="P-001"/>
    <s v="BR-30"/>
    <x v="0"/>
    <n v="167"/>
    <x v="2"/>
    <n v="450"/>
    <n v="180"/>
    <n v="3.5"/>
    <x v="1"/>
    <n v="12.5"/>
    <n v="0.15"/>
    <n v="0.02"/>
    <n v="75150"/>
    <n v="73647"/>
    <n v="584.5"/>
    <n v="11047.05"/>
    <n v="11047"/>
    <n v="30060"/>
    <n v="21492.949999999997"/>
    <n v="0.29183741360815801"/>
  </r>
  <r>
    <s v="ORD-1741"/>
    <d v="2026-05-31T21:00:00"/>
    <s v="P-001"/>
    <s v="BR-30"/>
    <x v="0"/>
    <n v="172"/>
    <x v="2"/>
    <n v="450"/>
    <n v="180"/>
    <n v="3.5"/>
    <x v="1"/>
    <n v="12.5"/>
    <n v="0.15"/>
    <n v="0.02"/>
    <n v="77400"/>
    <n v="75852"/>
    <n v="602"/>
    <n v="11377.8"/>
    <n v="11378"/>
    <n v="30960"/>
    <n v="22136.199999999997"/>
    <n v="0.29183409798027699"/>
  </r>
  <r>
    <s v="ORD-1744"/>
    <d v="2026-06-01T00:00:00"/>
    <s v="P-001"/>
    <s v="BR-30"/>
    <x v="0"/>
    <n v="11"/>
    <x v="2"/>
    <n v="450"/>
    <n v="180"/>
    <n v="3.5"/>
    <x v="1"/>
    <n v="12.5"/>
    <n v="0.15"/>
    <n v="0.02"/>
    <n v="4950"/>
    <n v="4851"/>
    <n v="38.5"/>
    <n v="727.65"/>
    <n v="728"/>
    <n v="1980"/>
    <n v="1415.35"/>
    <n v="0.291764584621727"/>
  </r>
  <r>
    <s v="ORD-1753"/>
    <d v="2026-06-01T09:00:00"/>
    <s v="P-001"/>
    <s v="BR-30"/>
    <x v="2"/>
    <n v="179"/>
    <x v="2"/>
    <n v="450"/>
    <n v="180"/>
    <n v="3.5"/>
    <x v="1"/>
    <n v="12.5"/>
    <n v="0.15"/>
    <n v="0.05"/>
    <n v="80550"/>
    <n v="76522"/>
    <n v="626.5"/>
    <n v="11478.3"/>
    <n v="11478"/>
    <n v="32220"/>
    <n v="21345.699999999997"/>
    <n v="0.27894853767543998"/>
  </r>
  <r>
    <s v="ORD-1758"/>
    <d v="2026-06-01T14:00:00"/>
    <s v="P-001"/>
    <s v="BR-30"/>
    <x v="2"/>
    <n v="177"/>
    <x v="2"/>
    <n v="450"/>
    <n v="180"/>
    <n v="3.5"/>
    <x v="1"/>
    <n v="12.5"/>
    <n v="0.15"/>
    <n v="0.05"/>
    <n v="79650"/>
    <n v="75668"/>
    <n v="619.5"/>
    <n v="11350.199999999999"/>
    <n v="11350"/>
    <n v="31860"/>
    <n v="21107.800000000003"/>
    <n v="0.27895279378337001"/>
  </r>
  <r>
    <s v="ORD-1759"/>
    <d v="2026-06-01T15:00:00"/>
    <s v="P-001"/>
    <s v="BR-30"/>
    <x v="1"/>
    <n v="58"/>
    <x v="2"/>
    <n v="450"/>
    <n v="180"/>
    <n v="3.5"/>
    <x v="1"/>
    <n v="12.5"/>
    <n v="0.15"/>
    <n v="0.1"/>
    <n v="26100"/>
    <n v="23490"/>
    <n v="203"/>
    <n v="3523.5"/>
    <n v="3524"/>
    <n v="10440"/>
    <n v="6002.5"/>
    <n v="0.255534269902086"/>
  </r>
  <r>
    <s v="ORD-1761"/>
    <d v="2026-06-01T17:00:00"/>
    <s v="P-001"/>
    <s v="BR-30"/>
    <x v="1"/>
    <n v="139"/>
    <x v="2"/>
    <n v="450"/>
    <n v="180"/>
    <n v="3.5"/>
    <x v="1"/>
    <n v="12.5"/>
    <n v="0.15"/>
    <n v="0.1"/>
    <n v="62550"/>
    <n v="56295"/>
    <n v="486.5"/>
    <n v="8444.25"/>
    <n v="8444"/>
    <n v="25020"/>
    <n v="14386.75"/>
    <n v="0.255559996447287"/>
  </r>
  <r>
    <s v="ORD-1794"/>
    <d v="2026-06-03T02:00:00"/>
    <s v="P-001"/>
    <s v="BR-30"/>
    <x v="1"/>
    <n v="139"/>
    <x v="2"/>
    <n v="450"/>
    <n v="180"/>
    <n v="3.5"/>
    <x v="1"/>
    <n v="12.5"/>
    <n v="0.15"/>
    <n v="0.1"/>
    <n v="62550"/>
    <n v="56295"/>
    <n v="486.5"/>
    <n v="8444.25"/>
    <n v="8444"/>
    <n v="25020"/>
    <n v="14386.75"/>
    <n v="0.255559996447287"/>
  </r>
  <r>
    <s v="ORD-1801"/>
    <d v="2026-06-03T09:00:00"/>
    <s v="P-001"/>
    <s v="BR-30"/>
    <x v="1"/>
    <n v="142"/>
    <x v="2"/>
    <n v="450"/>
    <n v="180"/>
    <n v="3.5"/>
    <x v="1"/>
    <n v="12.5"/>
    <n v="0.15"/>
    <n v="0.1"/>
    <n v="63900"/>
    <n v="57510"/>
    <n v="497"/>
    <n v="8626.5"/>
    <n v="8626"/>
    <n v="25560"/>
    <n v="14697.5"/>
    <n v="0.25556424969570501"/>
  </r>
  <r>
    <s v="ORD-1804"/>
    <d v="2026-06-03T12:00:00"/>
    <s v="P-001"/>
    <s v="BR-30"/>
    <x v="0"/>
    <n v="35"/>
    <x v="2"/>
    <n v="450"/>
    <n v="180"/>
    <n v="3.5"/>
    <x v="1"/>
    <n v="12.5"/>
    <n v="0.15"/>
    <n v="0.02"/>
    <n v="15750"/>
    <n v="15435"/>
    <n v="122.5"/>
    <n v="2315.25"/>
    <n v="2315"/>
    <n v="6300"/>
    <n v="4504.75"/>
    <n v="0.29185293164885001"/>
  </r>
  <r>
    <s v="ORD-1805"/>
    <d v="2026-06-03T13:00:00"/>
    <s v="P-001"/>
    <s v="BR-30"/>
    <x v="1"/>
    <n v="122"/>
    <x v="2"/>
    <n v="450"/>
    <n v="180"/>
    <n v="3.5"/>
    <x v="1"/>
    <n v="12.5"/>
    <n v="0.15"/>
    <n v="0.1"/>
    <n v="54900"/>
    <n v="49410"/>
    <n v="427"/>
    <n v="7411.5"/>
    <n v="7412"/>
    <n v="21960"/>
    <n v="12626.5"/>
    <n v="0.25554543614652903"/>
  </r>
  <r>
    <s v="ORD-1809"/>
    <d v="2026-06-03T17:00:00"/>
    <s v="P-001"/>
    <s v="BR-30"/>
    <x v="2"/>
    <n v="37"/>
    <x v="2"/>
    <n v="450"/>
    <n v="180"/>
    <n v="3.5"/>
    <x v="1"/>
    <n v="12.5"/>
    <n v="0.15"/>
    <n v="0.05"/>
    <n v="16650"/>
    <n v="15818"/>
    <n v="129.5"/>
    <n v="2372.6999999999998"/>
    <n v="2373"/>
    <n v="6660"/>
    <n v="4412.2999999999993"/>
    <n v="0.27894171197370099"/>
  </r>
  <r>
    <s v="ORD-1820"/>
    <d v="2026-06-04T04:00:00"/>
    <s v="P-001"/>
    <s v="BR-30"/>
    <x v="2"/>
    <n v="144"/>
    <x v="2"/>
    <n v="450"/>
    <n v="180"/>
    <n v="3.5"/>
    <x v="1"/>
    <n v="12.5"/>
    <n v="0.15"/>
    <n v="0.05"/>
    <n v="64800"/>
    <n v="61560"/>
    <n v="504"/>
    <n v="9234"/>
    <n v="9234"/>
    <n v="25920"/>
    <n v="17172"/>
    <n v="0.278947368421053"/>
  </r>
  <r>
    <s v="ORD-1848"/>
    <d v="2026-06-05T08:00:00"/>
    <s v="P-001"/>
    <s v="BR-30"/>
    <x v="2"/>
    <n v="50"/>
    <x v="2"/>
    <n v="450"/>
    <n v="180"/>
    <n v="3.5"/>
    <x v="1"/>
    <n v="12.5"/>
    <n v="0.15"/>
    <n v="0.05"/>
    <n v="22500"/>
    <n v="21375"/>
    <n v="175"/>
    <n v="3206.25"/>
    <n v="3206"/>
    <n v="9000"/>
    <n v="5962.75"/>
    <n v="0.27895906432748502"/>
  </r>
  <r>
    <s v="ORD-1855"/>
    <d v="2026-06-05T15:00:00"/>
    <s v="P-001"/>
    <s v="BR-30"/>
    <x v="1"/>
    <n v="37"/>
    <x v="2"/>
    <n v="450"/>
    <n v="180"/>
    <n v="3.5"/>
    <x v="1"/>
    <n v="12.5"/>
    <n v="0.15"/>
    <n v="0.1"/>
    <n v="16650"/>
    <n v="14985"/>
    <n v="129.5"/>
    <n v="2247.75"/>
    <n v="2248"/>
    <n v="6660"/>
    <n v="3829.25"/>
    <n v="0.255538872205539"/>
  </r>
  <r>
    <s v="ORD-1870"/>
    <d v="2026-06-06T06:00:00"/>
    <s v="P-001"/>
    <s v="BR-30"/>
    <x v="1"/>
    <n v="101"/>
    <x v="2"/>
    <n v="450"/>
    <n v="180"/>
    <n v="3.5"/>
    <x v="1"/>
    <n v="12.5"/>
    <n v="0.15"/>
    <n v="0.1"/>
    <n v="45450"/>
    <n v="40905"/>
    <n v="353.5"/>
    <n v="6135.75"/>
    <n v="6136"/>
    <n v="18180"/>
    <n v="10453.25"/>
    <n v="0.25554944383327199"/>
  </r>
  <r>
    <s v="ORD-1873"/>
    <d v="2026-06-06T09:00:00"/>
    <s v="P-001"/>
    <s v="BR-30"/>
    <x v="2"/>
    <n v="97"/>
    <x v="2"/>
    <n v="450"/>
    <n v="180"/>
    <n v="3.5"/>
    <x v="1"/>
    <n v="12.5"/>
    <n v="0.15"/>
    <n v="0.05"/>
    <n v="43650"/>
    <n v="41468"/>
    <n v="339.5"/>
    <n v="6220.2"/>
    <n v="6220"/>
    <n v="17460"/>
    <n v="11567.8"/>
    <n v="0.27895726825504003"/>
  </r>
  <r>
    <s v="ORD-1876"/>
    <d v="2026-06-06T12:00:00"/>
    <s v="P-001"/>
    <s v="BR-30"/>
    <x v="0"/>
    <n v="52"/>
    <x v="2"/>
    <n v="450"/>
    <n v="180"/>
    <n v="3.5"/>
    <x v="1"/>
    <n v="12.5"/>
    <n v="0.15"/>
    <n v="0.02"/>
    <n v="23400"/>
    <n v="22932"/>
    <n v="182"/>
    <n v="3439.7999999999997"/>
    <n v="3440"/>
    <n v="9360"/>
    <n v="6692.2000000000007"/>
    <n v="0.29182801325658497"/>
  </r>
  <r>
    <s v="ORD-1879"/>
    <d v="2026-06-06T15:00:00"/>
    <s v="P-001"/>
    <s v="BR-30"/>
    <x v="2"/>
    <n v="178"/>
    <x v="2"/>
    <n v="450"/>
    <n v="180"/>
    <n v="3.5"/>
    <x v="1"/>
    <n v="12.5"/>
    <n v="0.15"/>
    <n v="0.05"/>
    <n v="80100"/>
    <n v="76095"/>
    <n v="623"/>
    <n v="11414.25"/>
    <n v="11414"/>
    <n v="32040"/>
    <n v="21226.75"/>
    <n v="0.27895065378802802"/>
  </r>
  <r>
    <s v="ORD-1885"/>
    <d v="2026-06-06T21:00:00"/>
    <s v="P-001"/>
    <s v="BR-30"/>
    <x v="0"/>
    <n v="137"/>
    <x v="2"/>
    <n v="450"/>
    <n v="180"/>
    <n v="3.5"/>
    <x v="1"/>
    <n v="12.5"/>
    <n v="0.15"/>
    <n v="0.02"/>
    <n v="61650"/>
    <n v="60417"/>
    <n v="479.5"/>
    <n v="9062.5499999999993"/>
    <n v="9063"/>
    <n v="24660"/>
    <n v="17631.449999999997"/>
    <n v="0.29182928645910899"/>
  </r>
  <r>
    <s v="ORD-1887"/>
    <d v="2026-06-06T23:00:00"/>
    <s v="P-001"/>
    <s v="BR-30"/>
    <x v="0"/>
    <n v="194"/>
    <x v="2"/>
    <n v="450"/>
    <n v="180"/>
    <n v="3.5"/>
    <x v="1"/>
    <n v="12.5"/>
    <n v="0.15"/>
    <n v="0.02"/>
    <n v="87300"/>
    <n v="85554"/>
    <n v="679"/>
    <n v="12833.1"/>
    <n v="12833"/>
    <n v="34920"/>
    <n v="24967.9"/>
    <n v="0.29183790354629802"/>
  </r>
  <r>
    <s v="ORD-1895"/>
    <d v="2026-06-07T07:00:00"/>
    <s v="P-001"/>
    <s v="BR-30"/>
    <x v="0"/>
    <n v="107"/>
    <x v="2"/>
    <n v="450"/>
    <n v="180"/>
    <n v="3.5"/>
    <x v="1"/>
    <n v="12.5"/>
    <n v="0.15"/>
    <n v="0.02"/>
    <n v="48150"/>
    <n v="47187"/>
    <n v="374.5"/>
    <n v="7078.05"/>
    <n v="7078"/>
    <n v="19260"/>
    <n v="13770.949999999997"/>
    <n v="0.29183779430775397"/>
  </r>
  <r>
    <s v="ORD-1897"/>
    <d v="2026-06-07T09:00:00"/>
    <s v="P-001"/>
    <s v="BR-30"/>
    <x v="1"/>
    <n v="67"/>
    <x v="2"/>
    <n v="450"/>
    <n v="180"/>
    <n v="3.5"/>
    <x v="1"/>
    <n v="12.5"/>
    <n v="0.15"/>
    <n v="0.1"/>
    <n v="30150"/>
    <n v="27135"/>
    <n v="234.5"/>
    <n v="4070.25"/>
    <n v="4070"/>
    <n v="12060"/>
    <n v="6934.75"/>
    <n v="0.25556476874884798"/>
  </r>
  <r>
    <s v="ORD-1901"/>
    <d v="2026-06-07T13:00:00"/>
    <s v="P-001"/>
    <s v="BR-30"/>
    <x v="0"/>
    <n v="195"/>
    <x v="2"/>
    <n v="450"/>
    <n v="180"/>
    <n v="3.5"/>
    <x v="1"/>
    <n v="12.5"/>
    <n v="0.15"/>
    <n v="0.02"/>
    <n v="87750"/>
    <n v="85995"/>
    <n v="682.5"/>
    <n v="12899.25"/>
    <n v="12899"/>
    <n v="35100"/>
    <n v="25096.75"/>
    <n v="0.29183964183964201"/>
  </r>
  <r>
    <s v="ORD-1921"/>
    <d v="2026-06-08T09:00:00"/>
    <s v="P-001"/>
    <s v="BR-30"/>
    <x v="1"/>
    <n v="185"/>
    <x v="2"/>
    <n v="450"/>
    <n v="180"/>
    <n v="3.5"/>
    <x v="1"/>
    <n v="12.5"/>
    <n v="0.15"/>
    <n v="0.1"/>
    <n v="83250"/>
    <n v="74925"/>
    <n v="647.5"/>
    <n v="11238.75"/>
    <n v="11239"/>
    <n v="33300"/>
    <n v="19147.25"/>
    <n v="0.25555221888555202"/>
  </r>
  <r>
    <s v="ORD-1933"/>
    <d v="2026-06-08T21:00:00"/>
    <s v="P-001"/>
    <s v="BR-30"/>
    <x v="2"/>
    <n v="173"/>
    <x v="2"/>
    <n v="450"/>
    <n v="180"/>
    <n v="3.5"/>
    <x v="1"/>
    <n v="12.5"/>
    <n v="0.15"/>
    <n v="0.05"/>
    <n v="77850"/>
    <n v="73958"/>
    <n v="605.5"/>
    <n v="11093.699999999999"/>
    <n v="11094"/>
    <n v="31140"/>
    <n v="20630.300000000003"/>
    <n v="0.27894615863057398"/>
  </r>
  <r>
    <s v="ORD-1940"/>
    <d v="2026-06-09T04:00:00"/>
    <s v="P-001"/>
    <s v="BR-30"/>
    <x v="2"/>
    <n v="26"/>
    <x v="2"/>
    <n v="450"/>
    <n v="180"/>
    <n v="3.5"/>
    <x v="1"/>
    <n v="12.5"/>
    <n v="0.15"/>
    <n v="0.05"/>
    <n v="11700"/>
    <n v="11115"/>
    <n v="91"/>
    <n v="1667.25"/>
    <n v="1667"/>
    <n v="4680"/>
    <n v="3100.75"/>
    <n v="0.27896986054880801"/>
  </r>
  <r>
    <s v="ORD-1948"/>
    <d v="2026-06-09T12:00:00"/>
    <s v="P-001"/>
    <s v="BR-30"/>
    <x v="1"/>
    <n v="193"/>
    <x v="2"/>
    <n v="450"/>
    <n v="180"/>
    <n v="3.5"/>
    <x v="1"/>
    <n v="12.5"/>
    <n v="0.15"/>
    <n v="0.1"/>
    <n v="86850"/>
    <n v="78165"/>
    <n v="675.5"/>
    <n v="11724.75"/>
    <n v="11725"/>
    <n v="34740"/>
    <n v="19975.25"/>
    <n v="0.25555235719311697"/>
  </r>
  <r>
    <s v="ORD-1949"/>
    <d v="2026-06-09T13:00:00"/>
    <s v="P-001"/>
    <s v="BR-30"/>
    <x v="1"/>
    <n v="73"/>
    <x v="2"/>
    <n v="450"/>
    <n v="180"/>
    <n v="3.5"/>
    <x v="1"/>
    <n v="12.5"/>
    <n v="0.15"/>
    <n v="0.1"/>
    <n v="32850"/>
    <n v="29565"/>
    <n v="255.5"/>
    <n v="4434.75"/>
    <n v="4435"/>
    <n v="13140"/>
    <n v="7555.25"/>
    <n v="0.25554709961102701"/>
  </r>
  <r>
    <s v="ORD-1951"/>
    <d v="2026-06-09T15:00:00"/>
    <s v="P-001"/>
    <s v="BR-30"/>
    <x v="0"/>
    <n v="187"/>
    <x v="2"/>
    <n v="450"/>
    <n v="180"/>
    <n v="3.5"/>
    <x v="1"/>
    <n v="12.5"/>
    <n v="0.15"/>
    <n v="0.02"/>
    <n v="84150"/>
    <n v="82467"/>
    <n v="654.5"/>
    <n v="12370.05"/>
    <n v="12370"/>
    <n v="33660"/>
    <n v="24066.949999999997"/>
    <n v="0.29183734099700498"/>
  </r>
  <r>
    <s v="ORD-1958"/>
    <d v="2026-06-09T22:00:00"/>
    <s v="P-001"/>
    <s v="BR-30"/>
    <x v="0"/>
    <n v="155"/>
    <x v="2"/>
    <n v="450"/>
    <n v="180"/>
    <n v="3.5"/>
    <x v="1"/>
    <n v="12.5"/>
    <n v="0.15"/>
    <n v="0.02"/>
    <n v="69750"/>
    <n v="68355"/>
    <n v="542.5"/>
    <n v="10253.25"/>
    <n v="10253"/>
    <n v="27900"/>
    <n v="19948.75"/>
    <n v="0.29184039207080698"/>
  </r>
  <r>
    <s v="ORD-1961"/>
    <d v="2026-06-10T01:00:00"/>
    <s v="P-001"/>
    <s v="BR-30"/>
    <x v="2"/>
    <n v="32"/>
    <x v="2"/>
    <n v="450"/>
    <n v="180"/>
    <n v="3.5"/>
    <x v="1"/>
    <n v="12.5"/>
    <n v="0.15"/>
    <n v="0.05"/>
    <n v="14400"/>
    <n v="13680"/>
    <n v="112"/>
    <n v="2052"/>
    <n v="2052"/>
    <n v="5760"/>
    <n v="3816"/>
    <n v="0.278947368421053"/>
  </r>
  <r>
    <s v="ORD-1994"/>
    <d v="2026-06-11T10:00:00"/>
    <s v="P-001"/>
    <s v="BR-30"/>
    <x v="1"/>
    <n v="188"/>
    <x v="2"/>
    <n v="450"/>
    <n v="180"/>
    <n v="3.5"/>
    <x v="1"/>
    <n v="12.5"/>
    <n v="0.15"/>
    <n v="0.1"/>
    <n v="84600"/>
    <n v="76140"/>
    <n v="658"/>
    <n v="11421"/>
    <n v="11421"/>
    <n v="33840"/>
    <n v="19458"/>
    <n v="0.25555555555555598"/>
  </r>
  <r>
    <s v="ORD-1012"/>
    <d v="2026-05-01T12:00:00"/>
    <s v="P-001"/>
    <s v="BR-10"/>
    <x v="0"/>
    <n v="29"/>
    <x v="2"/>
    <n v="450"/>
    <n v="180"/>
    <n v="3.5"/>
    <x v="0"/>
    <n v="4.5"/>
    <n v="0.05"/>
    <n v="0.02"/>
    <n v="13050"/>
    <n v="12789"/>
    <n v="101.5"/>
    <n v="639.45000000000005"/>
    <n v="639"/>
    <n v="5220"/>
    <n v="6290.55"/>
    <n v="0.49187192118226603"/>
  </r>
  <r>
    <s v="ORD-1013"/>
    <d v="2026-05-01T13:00:00"/>
    <s v="P-001"/>
    <s v="BR-10"/>
    <x v="1"/>
    <n v="39"/>
    <x v="2"/>
    <n v="450"/>
    <n v="180"/>
    <n v="3.5"/>
    <x v="0"/>
    <n v="4.5"/>
    <n v="0.05"/>
    <n v="0.1"/>
    <n v="17550"/>
    <n v="15795"/>
    <n v="136.5"/>
    <n v="789.75"/>
    <n v="790"/>
    <n v="7020"/>
    <n v="7195.25"/>
    <n v="0.45553972776195001"/>
  </r>
  <r>
    <s v="ORD-1031"/>
    <d v="2026-05-02T07:00:00"/>
    <s v="P-001"/>
    <s v="BR-10"/>
    <x v="2"/>
    <n v="60"/>
    <x v="2"/>
    <n v="450"/>
    <n v="180"/>
    <n v="3.5"/>
    <x v="0"/>
    <n v="4.5"/>
    <n v="0.05"/>
    <n v="0.05"/>
    <n v="27000"/>
    <n v="25650"/>
    <n v="210"/>
    <n v="1282.5"/>
    <n v="1282"/>
    <n v="10800"/>
    <n v="12285.5"/>
    <n v="0.47896686159844098"/>
  </r>
  <r>
    <s v="ORD-1051"/>
    <d v="2026-05-03T03:00:00"/>
    <s v="P-001"/>
    <s v="BR-10"/>
    <x v="1"/>
    <n v="143"/>
    <x v="2"/>
    <n v="450"/>
    <n v="180"/>
    <n v="3.5"/>
    <x v="0"/>
    <n v="4.5"/>
    <n v="0.05"/>
    <n v="0.1"/>
    <n v="64350"/>
    <n v="57915"/>
    <n v="500.5"/>
    <n v="2895.75"/>
    <n v="2896"/>
    <n v="25740"/>
    <n v="26383.25"/>
    <n v="0.455551238884572"/>
  </r>
  <r>
    <s v="ORD-1062"/>
    <d v="2026-05-03T14:00:00"/>
    <s v="P-001"/>
    <s v="BR-10"/>
    <x v="1"/>
    <n v="91"/>
    <x v="2"/>
    <n v="450"/>
    <n v="180"/>
    <n v="3.5"/>
    <x v="0"/>
    <n v="4.5"/>
    <n v="0.05"/>
    <n v="0.1"/>
    <n v="40950"/>
    <n v="36855"/>
    <n v="318.5"/>
    <n v="1842.75"/>
    <n v="1843"/>
    <n v="16380"/>
    <n v="16789.25"/>
    <n v="0.45554877221543899"/>
  </r>
  <r>
    <s v="ORD-1074"/>
    <d v="2026-05-04T02:00:00"/>
    <s v="P-001"/>
    <s v="BR-10"/>
    <x v="0"/>
    <n v="85"/>
    <x v="2"/>
    <n v="450"/>
    <n v="180"/>
    <n v="3.5"/>
    <x v="0"/>
    <n v="4.5"/>
    <n v="0.05"/>
    <n v="0.02"/>
    <n v="38250"/>
    <n v="37485"/>
    <n v="297.5"/>
    <n v="1874.25"/>
    <n v="1874"/>
    <n v="15300"/>
    <n v="18436.75"/>
    <n v="0.49184340402827798"/>
  </r>
  <r>
    <s v="ORD-1096"/>
    <d v="2026-05-05T00:00:00"/>
    <s v="P-001"/>
    <s v="BR-10"/>
    <x v="1"/>
    <n v="60"/>
    <x v="2"/>
    <n v="450"/>
    <n v="180"/>
    <n v="3.5"/>
    <x v="0"/>
    <n v="4.5"/>
    <n v="0.05"/>
    <n v="0.1"/>
    <n v="27000"/>
    <n v="24300"/>
    <n v="210"/>
    <n v="1215"/>
    <n v="1215"/>
    <n v="10800"/>
    <n v="11070"/>
    <n v="0.45555555555555599"/>
  </r>
  <r>
    <s v="ORD-1101"/>
    <d v="2026-05-05T05:00:00"/>
    <s v="P-001"/>
    <s v="BR-10"/>
    <x v="1"/>
    <n v="64"/>
    <x v="2"/>
    <n v="450"/>
    <n v="180"/>
    <n v="3.5"/>
    <x v="0"/>
    <n v="4.5"/>
    <n v="0.05"/>
    <n v="0.1"/>
    <n v="28800"/>
    <n v="25920"/>
    <n v="224"/>
    <n v="1296"/>
    <n v="1296"/>
    <n v="11520"/>
    <n v="11808"/>
    <n v="0.45555555555555599"/>
  </r>
  <r>
    <s v="ORD-1102"/>
    <d v="2026-05-05T06:00:00"/>
    <s v="P-001"/>
    <s v="BR-10"/>
    <x v="0"/>
    <n v="49"/>
    <x v="2"/>
    <n v="450"/>
    <n v="180"/>
    <n v="3.5"/>
    <x v="0"/>
    <n v="4.5"/>
    <n v="0.05"/>
    <n v="0.02"/>
    <n v="22050"/>
    <n v="21609"/>
    <n v="171.5"/>
    <n v="1080.45"/>
    <n v="1080"/>
    <n v="8820"/>
    <n v="10628.55"/>
    <n v="0.49185755935027098"/>
  </r>
  <r>
    <s v="ORD-1116"/>
    <d v="2026-05-05T20:00:00"/>
    <s v="P-001"/>
    <s v="BR-10"/>
    <x v="0"/>
    <n v="33"/>
    <x v="2"/>
    <n v="450"/>
    <n v="180"/>
    <n v="3.5"/>
    <x v="0"/>
    <n v="4.5"/>
    <n v="0.05"/>
    <n v="0.02"/>
    <n v="14850"/>
    <n v="14553"/>
    <n v="115.5"/>
    <n v="727.65000000000009"/>
    <n v="728"/>
    <n v="5940"/>
    <n v="7157.35"/>
    <n v="0.49181268466982803"/>
  </r>
  <r>
    <s v="ORD-1147"/>
    <d v="2026-05-07T03:00:00"/>
    <s v="P-001"/>
    <s v="BR-10"/>
    <x v="2"/>
    <n v="92"/>
    <x v="2"/>
    <n v="450"/>
    <n v="180"/>
    <n v="3.5"/>
    <x v="0"/>
    <n v="4.5"/>
    <n v="0.05"/>
    <n v="0.05"/>
    <n v="41400"/>
    <n v="39330"/>
    <n v="322"/>
    <n v="1966.5"/>
    <n v="1966"/>
    <n v="16560"/>
    <n v="18837.5"/>
    <n v="0.47896008136282697"/>
  </r>
  <r>
    <s v="ORD-1148"/>
    <d v="2026-05-07T04:00:00"/>
    <s v="P-001"/>
    <s v="BR-10"/>
    <x v="2"/>
    <n v="56"/>
    <x v="2"/>
    <n v="450"/>
    <n v="180"/>
    <n v="3.5"/>
    <x v="0"/>
    <n v="4.5"/>
    <n v="0.05"/>
    <n v="0.05"/>
    <n v="25200"/>
    <n v="23940"/>
    <n v="196"/>
    <n v="1197"/>
    <n v="1197"/>
    <n v="10080"/>
    <n v="11466"/>
    <n v="0.47894736842105301"/>
  </r>
  <r>
    <s v="ORD-1149"/>
    <d v="2026-05-07T05:00:00"/>
    <s v="P-001"/>
    <s v="BR-10"/>
    <x v="2"/>
    <n v="172"/>
    <x v="2"/>
    <n v="450"/>
    <n v="180"/>
    <n v="3.5"/>
    <x v="0"/>
    <n v="4.5"/>
    <n v="0.05"/>
    <n v="0.05"/>
    <n v="77400"/>
    <n v="73530"/>
    <n v="602"/>
    <n v="3676.5"/>
    <n v="3676"/>
    <n v="30960"/>
    <n v="35217.5"/>
    <n v="0.478954168366653"/>
  </r>
  <r>
    <s v="ORD-1162"/>
    <d v="2026-05-07T18:00:00"/>
    <s v="P-001"/>
    <s v="BR-10"/>
    <x v="2"/>
    <n v="129"/>
    <x v="2"/>
    <n v="450"/>
    <n v="180"/>
    <n v="3.5"/>
    <x v="0"/>
    <n v="4.5"/>
    <n v="0.05"/>
    <n v="0.05"/>
    <n v="58050"/>
    <n v="55148"/>
    <n v="451.5"/>
    <n v="2757.4"/>
    <n v="2757"/>
    <n v="23220"/>
    <n v="26413.599999999999"/>
    <n v="0.47895843910930602"/>
  </r>
  <r>
    <s v="ORD-1180"/>
    <d v="2026-05-08T12:00:00"/>
    <s v="P-001"/>
    <s v="BR-10"/>
    <x v="2"/>
    <n v="81"/>
    <x v="2"/>
    <n v="450"/>
    <n v="180"/>
    <n v="3.5"/>
    <x v="0"/>
    <n v="4.5"/>
    <n v="0.05"/>
    <n v="0.05"/>
    <n v="36450"/>
    <n v="34628"/>
    <n v="283.5"/>
    <n v="1731.4"/>
    <n v="1731"/>
    <n v="14580"/>
    <n v="16585.599999999999"/>
    <n v="0.47896499942243298"/>
  </r>
  <r>
    <s v="ORD-1191"/>
    <d v="2026-05-08T23:00:00"/>
    <s v="P-001"/>
    <s v="BR-10"/>
    <x v="0"/>
    <n v="63"/>
    <x v="2"/>
    <n v="450"/>
    <n v="180"/>
    <n v="3.5"/>
    <x v="0"/>
    <n v="4.5"/>
    <n v="0.05"/>
    <n v="0.02"/>
    <n v="28350"/>
    <n v="27783"/>
    <n v="220.5"/>
    <n v="1389.15"/>
    <n v="1389"/>
    <n v="11340"/>
    <n v="13664.85"/>
    <n v="0.49184213367886798"/>
  </r>
  <r>
    <s v="ORD-1201"/>
    <d v="2026-05-09T09:00:00"/>
    <s v="P-001"/>
    <s v="BR-10"/>
    <x v="1"/>
    <n v="23"/>
    <x v="2"/>
    <n v="450"/>
    <n v="180"/>
    <n v="3.5"/>
    <x v="0"/>
    <n v="4.5"/>
    <n v="0.05"/>
    <n v="0.1"/>
    <n v="10350"/>
    <n v="9315"/>
    <n v="80.5"/>
    <n v="465.75"/>
    <n v="466"/>
    <n v="4140"/>
    <n v="4243.25"/>
    <n v="0.45552871712291998"/>
  </r>
  <r>
    <s v="ORD-1213"/>
    <d v="2026-05-09T21:00:00"/>
    <s v="P-001"/>
    <s v="BR-10"/>
    <x v="0"/>
    <n v="134"/>
    <x v="2"/>
    <n v="450"/>
    <n v="180"/>
    <n v="3.5"/>
    <x v="0"/>
    <n v="4.5"/>
    <n v="0.05"/>
    <n v="0.02"/>
    <n v="60300"/>
    <n v="59094"/>
    <n v="469"/>
    <n v="2954.7000000000003"/>
    <n v="2955"/>
    <n v="24120"/>
    <n v="29064.3"/>
    <n v="0.49183165803634898"/>
  </r>
  <r>
    <s v="ORD-1214"/>
    <d v="2026-05-09T22:00:00"/>
    <s v="P-001"/>
    <s v="BR-10"/>
    <x v="1"/>
    <n v="76"/>
    <x v="2"/>
    <n v="450"/>
    <n v="180"/>
    <n v="3.5"/>
    <x v="0"/>
    <n v="4.5"/>
    <n v="0.05"/>
    <n v="0.1"/>
    <n v="34200"/>
    <n v="30780"/>
    <n v="266"/>
    <n v="1539"/>
    <n v="1539"/>
    <n v="13680"/>
    <n v="14022"/>
    <n v="0.45555555555555599"/>
  </r>
  <r>
    <s v="ORD-1252"/>
    <d v="2026-05-11T12:00:00"/>
    <s v="P-001"/>
    <s v="BR-10"/>
    <x v="2"/>
    <n v="171"/>
    <x v="2"/>
    <n v="450"/>
    <n v="180"/>
    <n v="3.5"/>
    <x v="0"/>
    <n v="4.5"/>
    <n v="0.05"/>
    <n v="0.05"/>
    <n v="76950"/>
    <n v="73102"/>
    <n v="598.5"/>
    <n v="3655.1000000000004"/>
    <n v="3655"/>
    <n v="30780"/>
    <n v="35011.9"/>
    <n v="0.47894585647451499"/>
  </r>
  <r>
    <s v="ORD-1255"/>
    <d v="2026-05-11T15:00:00"/>
    <s v="P-001"/>
    <s v="BR-10"/>
    <x v="0"/>
    <n v="83"/>
    <x v="2"/>
    <n v="450"/>
    <n v="180"/>
    <n v="3.5"/>
    <x v="0"/>
    <n v="4.5"/>
    <n v="0.05"/>
    <n v="0.02"/>
    <n v="37350"/>
    <n v="36603"/>
    <n v="290.5"/>
    <n v="1830.15"/>
    <n v="1830"/>
    <n v="14940"/>
    <n v="18002.849999999999"/>
    <n v="0.49184083271862999"/>
  </r>
  <r>
    <s v="ORD-1256"/>
    <d v="2026-05-11T16:00:00"/>
    <s v="P-001"/>
    <s v="BR-10"/>
    <x v="0"/>
    <n v="116"/>
    <x v="2"/>
    <n v="450"/>
    <n v="180"/>
    <n v="3.5"/>
    <x v="0"/>
    <n v="4.5"/>
    <n v="0.05"/>
    <n v="0.02"/>
    <n v="52200"/>
    <n v="51156"/>
    <n v="406"/>
    <n v="2557.8000000000002"/>
    <n v="2558"/>
    <n v="20880"/>
    <n v="25160.2"/>
    <n v="0.49183282508405701"/>
  </r>
  <r>
    <s v="ORD-1262"/>
    <d v="2026-05-11T22:00:00"/>
    <s v="P-001"/>
    <s v="BR-10"/>
    <x v="2"/>
    <n v="159"/>
    <x v="2"/>
    <n v="450"/>
    <n v="180"/>
    <n v="3.5"/>
    <x v="0"/>
    <n v="4.5"/>
    <n v="0.05"/>
    <n v="0.05"/>
    <n v="71550"/>
    <n v="67972"/>
    <n v="556.5"/>
    <n v="3398.6000000000004"/>
    <n v="3399"/>
    <n v="28620"/>
    <n v="32554.400000000001"/>
    <n v="0.47893838639439801"/>
  </r>
  <r>
    <s v="ORD-1263"/>
    <d v="2026-05-11T23:00:00"/>
    <s v="P-001"/>
    <s v="BR-10"/>
    <x v="1"/>
    <n v="88"/>
    <x v="2"/>
    <n v="450"/>
    <n v="180"/>
    <n v="3.5"/>
    <x v="0"/>
    <n v="4.5"/>
    <n v="0.05"/>
    <n v="0.1"/>
    <n v="39600"/>
    <n v="35640"/>
    <n v="308"/>
    <n v="1782"/>
    <n v="1782"/>
    <n v="15840"/>
    <n v="16236"/>
    <n v="0.45555555555555599"/>
  </r>
  <r>
    <s v="ORD-1267"/>
    <d v="2026-05-12T03:00:00"/>
    <s v="P-001"/>
    <s v="BR-10"/>
    <x v="1"/>
    <n v="159"/>
    <x v="2"/>
    <n v="450"/>
    <n v="180"/>
    <n v="3.5"/>
    <x v="0"/>
    <n v="4.5"/>
    <n v="0.05"/>
    <n v="0.1"/>
    <n v="71550"/>
    <n v="64395"/>
    <n v="556.5"/>
    <n v="3219.75"/>
    <n v="3220"/>
    <n v="28620"/>
    <n v="29335.25"/>
    <n v="0.45555167326655799"/>
  </r>
  <r>
    <s v="ORD-1268"/>
    <d v="2026-05-12T04:00:00"/>
    <s v="P-001"/>
    <s v="BR-10"/>
    <x v="2"/>
    <n v="89"/>
    <x v="2"/>
    <n v="450"/>
    <n v="180"/>
    <n v="3.5"/>
    <x v="0"/>
    <n v="4.5"/>
    <n v="0.05"/>
    <n v="0.05"/>
    <n v="40050"/>
    <n v="38048"/>
    <n v="311.5"/>
    <n v="1902.4"/>
    <n v="1902"/>
    <n v="16020"/>
    <n v="18223.599999999999"/>
    <n v="0.47896341463414599"/>
  </r>
  <r>
    <s v="ORD-1283"/>
    <d v="2026-05-12T19:00:00"/>
    <s v="P-001"/>
    <s v="BR-10"/>
    <x v="0"/>
    <n v="92"/>
    <x v="2"/>
    <n v="450"/>
    <n v="180"/>
    <n v="3.5"/>
    <x v="0"/>
    <n v="4.5"/>
    <n v="0.05"/>
    <n v="0.02"/>
    <n v="41400"/>
    <n v="40572"/>
    <n v="322"/>
    <n v="2028.6000000000001"/>
    <n v="2029"/>
    <n v="16560"/>
    <n v="19954.400000000001"/>
    <n v="0.49182687567780697"/>
  </r>
  <r>
    <s v="ORD-1286"/>
    <d v="2026-05-12T22:00:00"/>
    <s v="P-001"/>
    <s v="BR-10"/>
    <x v="0"/>
    <n v="117"/>
    <x v="2"/>
    <n v="450"/>
    <n v="180"/>
    <n v="3.5"/>
    <x v="0"/>
    <n v="4.5"/>
    <n v="0.05"/>
    <n v="0.02"/>
    <n v="52650"/>
    <n v="51597"/>
    <n v="409.5"/>
    <n v="2579.8500000000004"/>
    <n v="2580"/>
    <n v="21060"/>
    <n v="25377.15"/>
    <n v="0.491833827548113"/>
  </r>
  <r>
    <s v="ORD-1292"/>
    <d v="2026-05-13T04:00:00"/>
    <s v="P-001"/>
    <s v="BR-10"/>
    <x v="1"/>
    <n v="57"/>
    <x v="2"/>
    <n v="450"/>
    <n v="180"/>
    <n v="3.5"/>
    <x v="0"/>
    <n v="4.5"/>
    <n v="0.05"/>
    <n v="0.1"/>
    <n v="25650"/>
    <n v="23085"/>
    <n v="199.5"/>
    <n v="1154.25"/>
    <n v="1154"/>
    <n v="10260"/>
    <n v="10516.75"/>
    <n v="0.45556638509854902"/>
  </r>
  <r>
    <s v="ORD-1319"/>
    <d v="2026-05-14T07:00:00"/>
    <s v="P-001"/>
    <s v="BR-10"/>
    <x v="0"/>
    <n v="191"/>
    <x v="2"/>
    <n v="450"/>
    <n v="180"/>
    <n v="3.5"/>
    <x v="0"/>
    <n v="4.5"/>
    <n v="0.05"/>
    <n v="0.02"/>
    <n v="85950"/>
    <n v="84231"/>
    <n v="668.5"/>
    <n v="4211.55"/>
    <n v="4212"/>
    <n v="34380"/>
    <n v="41427.449999999997"/>
    <n v="0.49183139224276101"/>
  </r>
  <r>
    <s v="ORD-1325"/>
    <d v="2026-05-14T13:00:00"/>
    <s v="P-001"/>
    <s v="BR-10"/>
    <x v="2"/>
    <n v="17"/>
    <x v="2"/>
    <n v="450"/>
    <n v="180"/>
    <n v="3.5"/>
    <x v="0"/>
    <n v="4.5"/>
    <n v="0.05"/>
    <n v="0.05"/>
    <n v="7650"/>
    <n v="7268"/>
    <n v="59.5"/>
    <n v="363.40000000000003"/>
    <n v="363"/>
    <n v="3060"/>
    <n v="3481.6"/>
    <n v="0.479031370390754"/>
  </r>
  <r>
    <s v="ORD-1329"/>
    <d v="2026-05-14T17:00:00"/>
    <s v="P-001"/>
    <s v="BR-10"/>
    <x v="2"/>
    <n v="178"/>
    <x v="2"/>
    <n v="450"/>
    <n v="180"/>
    <n v="3.5"/>
    <x v="0"/>
    <n v="4.5"/>
    <n v="0.05"/>
    <n v="0.05"/>
    <n v="80100"/>
    <n v="76095"/>
    <n v="623"/>
    <n v="3804.75"/>
    <n v="3805"/>
    <n v="32040"/>
    <n v="36445.25"/>
    <n v="0.47894408305407699"/>
  </r>
  <r>
    <s v="ORD-1332"/>
    <d v="2026-05-14T20:00:00"/>
    <s v="P-001"/>
    <s v="BR-10"/>
    <x v="2"/>
    <n v="164"/>
    <x v="2"/>
    <n v="450"/>
    <n v="180"/>
    <n v="3.5"/>
    <x v="0"/>
    <n v="4.5"/>
    <n v="0.05"/>
    <n v="0.05"/>
    <n v="73800"/>
    <n v="70110"/>
    <n v="574"/>
    <n v="3505.5"/>
    <n v="3506"/>
    <n v="29520"/>
    <n v="33578.5"/>
    <n v="0.47894023677078901"/>
  </r>
  <r>
    <s v="ORD-1335"/>
    <d v="2026-05-14T23:00:00"/>
    <s v="P-001"/>
    <s v="BR-10"/>
    <x v="1"/>
    <n v="155"/>
    <x v="2"/>
    <n v="450"/>
    <n v="180"/>
    <n v="3.5"/>
    <x v="0"/>
    <n v="4.5"/>
    <n v="0.05"/>
    <n v="0.1"/>
    <n v="69750"/>
    <n v="62775"/>
    <n v="542.5"/>
    <n v="3138.75"/>
    <n v="3139"/>
    <n v="27900"/>
    <n v="28597.25"/>
    <n v="0.45555157307845501"/>
  </r>
  <r>
    <s v="ORD-1380"/>
    <d v="2026-05-16T20:00:00"/>
    <s v="P-001"/>
    <s v="BR-10"/>
    <x v="2"/>
    <n v="137"/>
    <x v="2"/>
    <n v="450"/>
    <n v="180"/>
    <n v="3.5"/>
    <x v="0"/>
    <n v="4.5"/>
    <n v="0.05"/>
    <n v="0.05"/>
    <n v="61650"/>
    <n v="58568"/>
    <n v="479.5"/>
    <n v="2928.4"/>
    <n v="2928"/>
    <n v="24660"/>
    <n v="28051.599999999999"/>
    <n v="0.47895779265127703"/>
  </r>
  <r>
    <s v="ORD-1396"/>
    <d v="2026-05-17T12:00:00"/>
    <s v="P-001"/>
    <s v="BR-10"/>
    <x v="1"/>
    <n v="85"/>
    <x v="2"/>
    <n v="450"/>
    <n v="180"/>
    <n v="3.5"/>
    <x v="0"/>
    <n v="4.5"/>
    <n v="0.05"/>
    <n v="0.1"/>
    <n v="38250"/>
    <n v="34425"/>
    <n v="297.5"/>
    <n v="1721.25"/>
    <n v="1721"/>
    <n v="15300"/>
    <n v="15682.75"/>
    <n v="0.45556281771967999"/>
  </r>
  <r>
    <s v="ORD-1409"/>
    <d v="2026-05-18T01:00:00"/>
    <s v="P-001"/>
    <s v="BR-10"/>
    <x v="2"/>
    <n v="143"/>
    <x v="2"/>
    <n v="450"/>
    <n v="180"/>
    <n v="3.5"/>
    <x v="0"/>
    <n v="4.5"/>
    <n v="0.05"/>
    <n v="0.05"/>
    <n v="64350"/>
    <n v="61132"/>
    <n v="500.5"/>
    <n v="3056.6000000000004"/>
    <n v="3057"/>
    <n v="25740"/>
    <n v="29278.400000000001"/>
    <n v="0.47893738140417502"/>
  </r>
  <r>
    <s v="ORD-1411"/>
    <d v="2026-05-18T03:00:00"/>
    <s v="P-001"/>
    <s v="BR-10"/>
    <x v="0"/>
    <n v="55"/>
    <x v="2"/>
    <n v="450"/>
    <n v="180"/>
    <n v="3.5"/>
    <x v="0"/>
    <n v="4.5"/>
    <n v="0.05"/>
    <n v="0.02"/>
    <n v="24750"/>
    <n v="24255"/>
    <n v="192.5"/>
    <n v="1212.75"/>
    <n v="1213"/>
    <n v="9900"/>
    <n v="11929.25"/>
    <n v="0.49182642754071298"/>
  </r>
  <r>
    <s v="ORD-1413"/>
    <d v="2026-05-18T05:00:00"/>
    <s v="P-001"/>
    <s v="BR-10"/>
    <x v="1"/>
    <n v="120"/>
    <x v="2"/>
    <n v="450"/>
    <n v="180"/>
    <n v="3.5"/>
    <x v="0"/>
    <n v="4.5"/>
    <n v="0.05"/>
    <n v="0.1"/>
    <n v="54000"/>
    <n v="48600"/>
    <n v="420"/>
    <n v="2430"/>
    <n v="2430"/>
    <n v="21600"/>
    <n v="22140"/>
    <n v="0.45555555555555599"/>
  </r>
  <r>
    <s v="ORD-1436"/>
    <d v="2026-05-19T04:00:00"/>
    <s v="P-001"/>
    <s v="BR-10"/>
    <x v="0"/>
    <n v="112"/>
    <x v="2"/>
    <n v="450"/>
    <n v="180"/>
    <n v="3.5"/>
    <x v="0"/>
    <n v="4.5"/>
    <n v="0.05"/>
    <n v="0.02"/>
    <n v="50400"/>
    <n v="49392"/>
    <n v="392"/>
    <n v="2469.6000000000004"/>
    <n v="2470"/>
    <n v="20160"/>
    <n v="24292.400000000001"/>
    <n v="0.491828636216391"/>
  </r>
  <r>
    <s v="ORD-1479"/>
    <d v="2026-05-20T23:00:00"/>
    <s v="P-001"/>
    <s v="BR-10"/>
    <x v="1"/>
    <n v="190"/>
    <x v="2"/>
    <n v="450"/>
    <n v="180"/>
    <n v="3.5"/>
    <x v="0"/>
    <n v="4.5"/>
    <n v="0.05"/>
    <n v="0.1"/>
    <n v="85500"/>
    <n v="76950"/>
    <n v="665"/>
    <n v="3847.5"/>
    <n v="3848"/>
    <n v="34200"/>
    <n v="35054.5"/>
    <n v="0.45554905782976002"/>
  </r>
  <r>
    <s v="ORD-1487"/>
    <d v="2026-05-21T07:00:00"/>
    <s v="P-001"/>
    <s v="BR-10"/>
    <x v="2"/>
    <n v="35"/>
    <x v="2"/>
    <n v="450"/>
    <n v="180"/>
    <n v="3.5"/>
    <x v="0"/>
    <n v="4.5"/>
    <n v="0.05"/>
    <n v="0.05"/>
    <n v="15750"/>
    <n v="14962"/>
    <n v="122.5"/>
    <n v="748.1"/>
    <n v="748"/>
    <n v="6300"/>
    <n v="7165.9"/>
    <n v="0.47893998128592402"/>
  </r>
  <r>
    <s v="ORD-1488"/>
    <d v="2026-05-21T08:00:00"/>
    <s v="P-001"/>
    <s v="BR-10"/>
    <x v="1"/>
    <n v="142"/>
    <x v="2"/>
    <n v="450"/>
    <n v="180"/>
    <n v="3.5"/>
    <x v="0"/>
    <n v="4.5"/>
    <n v="0.05"/>
    <n v="0.1"/>
    <n v="63900"/>
    <n v="57510"/>
    <n v="497"/>
    <n v="2875.5"/>
    <n v="2876"/>
    <n v="25560"/>
    <n v="26198.5"/>
    <n v="0.45554686141540601"/>
  </r>
  <r>
    <s v="ORD-1494"/>
    <d v="2026-05-21T14:00:00"/>
    <s v="P-001"/>
    <s v="BR-10"/>
    <x v="1"/>
    <n v="158"/>
    <x v="2"/>
    <n v="450"/>
    <n v="180"/>
    <n v="3.5"/>
    <x v="0"/>
    <n v="4.5"/>
    <n v="0.05"/>
    <n v="0.1"/>
    <n v="71100"/>
    <n v="63990"/>
    <n v="553"/>
    <n v="3199.5"/>
    <n v="3200"/>
    <n v="28440"/>
    <n v="29150.5"/>
    <n v="0.45554774183466201"/>
  </r>
  <r>
    <s v="ORD-1515"/>
    <d v="2026-05-22T11:00:00"/>
    <s v="P-001"/>
    <s v="BR-10"/>
    <x v="2"/>
    <n v="134"/>
    <x v="2"/>
    <n v="450"/>
    <n v="180"/>
    <n v="3.5"/>
    <x v="0"/>
    <n v="4.5"/>
    <n v="0.05"/>
    <n v="0.05"/>
    <n v="60300"/>
    <n v="57285"/>
    <n v="469"/>
    <n v="2864.25"/>
    <n v="2864"/>
    <n v="24120"/>
    <n v="27436.75"/>
    <n v="0.47895173256524398"/>
  </r>
  <r>
    <s v="ORD-1519"/>
    <d v="2026-05-22T15:00:00"/>
    <s v="P-001"/>
    <s v="BR-10"/>
    <x v="1"/>
    <n v="107"/>
    <x v="2"/>
    <n v="450"/>
    <n v="180"/>
    <n v="3.5"/>
    <x v="0"/>
    <n v="4.5"/>
    <n v="0.05"/>
    <n v="0.1"/>
    <n v="48150"/>
    <n v="43335"/>
    <n v="374.5"/>
    <n v="2166.75"/>
    <n v="2167"/>
    <n v="19260"/>
    <n v="19741.25"/>
    <n v="0.455549786546671"/>
  </r>
  <r>
    <s v="ORD-1525"/>
    <d v="2026-05-22T21:00:00"/>
    <s v="P-001"/>
    <s v="BR-10"/>
    <x v="2"/>
    <n v="139"/>
    <x v="2"/>
    <n v="450"/>
    <n v="180"/>
    <n v="3.5"/>
    <x v="0"/>
    <n v="4.5"/>
    <n v="0.05"/>
    <n v="0.05"/>
    <n v="62550"/>
    <n v="59422"/>
    <n v="486.5"/>
    <n v="2971.1000000000004"/>
    <n v="2971"/>
    <n v="25020"/>
    <n v="28459.9"/>
    <n v="0.478945508397563"/>
  </r>
  <r>
    <s v="ORD-1527"/>
    <d v="2026-05-22T23:00:00"/>
    <s v="P-001"/>
    <s v="BR-10"/>
    <x v="2"/>
    <n v="144"/>
    <x v="2"/>
    <n v="450"/>
    <n v="180"/>
    <n v="3.5"/>
    <x v="0"/>
    <n v="4.5"/>
    <n v="0.05"/>
    <n v="0.05"/>
    <n v="64800"/>
    <n v="61560"/>
    <n v="504"/>
    <n v="3078"/>
    <n v="3078"/>
    <n v="25920"/>
    <n v="29484"/>
    <n v="0.47894736842105301"/>
  </r>
  <r>
    <s v="ORD-1529"/>
    <d v="2026-05-23T01:00:00"/>
    <s v="P-001"/>
    <s v="BR-10"/>
    <x v="2"/>
    <n v="24"/>
    <x v="2"/>
    <n v="450"/>
    <n v="180"/>
    <n v="3.5"/>
    <x v="0"/>
    <n v="4.5"/>
    <n v="0.05"/>
    <n v="0.05"/>
    <n v="10800"/>
    <n v="10260"/>
    <n v="84"/>
    <n v="513"/>
    <n v="513"/>
    <n v="4320"/>
    <n v="4914"/>
    <n v="0.47894736842105301"/>
  </r>
  <r>
    <s v="ORD-1547"/>
    <d v="2026-05-23T19:00:00"/>
    <s v="P-001"/>
    <s v="BR-10"/>
    <x v="0"/>
    <n v="15"/>
    <x v="2"/>
    <n v="450"/>
    <n v="180"/>
    <n v="3.5"/>
    <x v="0"/>
    <n v="4.5"/>
    <n v="0.05"/>
    <n v="0.02"/>
    <n v="6750"/>
    <n v="6615"/>
    <n v="52.5"/>
    <n v="330.75"/>
    <n v="331"/>
    <n v="2700"/>
    <n v="3253.25"/>
    <n v="0.49179894179894201"/>
  </r>
  <r>
    <s v="ORD-1551"/>
    <d v="2026-05-23T23:00:00"/>
    <s v="P-001"/>
    <s v="BR-10"/>
    <x v="1"/>
    <n v="56"/>
    <x v="2"/>
    <n v="450"/>
    <n v="180"/>
    <n v="3.5"/>
    <x v="0"/>
    <n v="4.5"/>
    <n v="0.05"/>
    <n v="0.1"/>
    <n v="25200"/>
    <n v="22680"/>
    <n v="196"/>
    <n v="1134"/>
    <n v="1134"/>
    <n v="10080"/>
    <n v="10332"/>
    <n v="0.45555555555555599"/>
  </r>
  <r>
    <s v="ORD-1558"/>
    <d v="2026-05-24T06:00:00"/>
    <s v="P-001"/>
    <s v="BR-10"/>
    <x v="1"/>
    <n v="57"/>
    <x v="2"/>
    <n v="450"/>
    <n v="180"/>
    <n v="3.5"/>
    <x v="0"/>
    <n v="4.5"/>
    <n v="0.05"/>
    <n v="0.1"/>
    <n v="25650"/>
    <n v="23085"/>
    <n v="199.5"/>
    <n v="1154.25"/>
    <n v="1154"/>
    <n v="10260"/>
    <n v="10516.75"/>
    <n v="0.45556638509854902"/>
  </r>
  <r>
    <s v="ORD-1564"/>
    <d v="2026-05-24T12:00:00"/>
    <s v="P-001"/>
    <s v="BR-10"/>
    <x v="0"/>
    <n v="110"/>
    <x v="2"/>
    <n v="450"/>
    <n v="180"/>
    <n v="3.5"/>
    <x v="0"/>
    <n v="4.5"/>
    <n v="0.05"/>
    <n v="0.02"/>
    <n v="49500"/>
    <n v="48510"/>
    <n v="385"/>
    <n v="2425.5"/>
    <n v="2426"/>
    <n v="19800"/>
    <n v="23858.5"/>
    <n v="0.49182642754071298"/>
  </r>
  <r>
    <s v="ORD-1569"/>
    <d v="2026-05-24T17:00:00"/>
    <s v="P-001"/>
    <s v="BR-10"/>
    <x v="0"/>
    <n v="172"/>
    <x v="2"/>
    <n v="450"/>
    <n v="180"/>
    <n v="3.5"/>
    <x v="0"/>
    <n v="4.5"/>
    <n v="0.05"/>
    <n v="0.02"/>
    <n v="77400"/>
    <n v="75852"/>
    <n v="602"/>
    <n v="3792.6000000000004"/>
    <n v="3793"/>
    <n v="30960"/>
    <n v="37306.400000000001"/>
    <n v="0.49183146126667698"/>
  </r>
  <r>
    <s v="ORD-1584"/>
    <d v="2026-05-25T08:00:00"/>
    <s v="P-001"/>
    <s v="BR-10"/>
    <x v="2"/>
    <n v="117"/>
    <x v="2"/>
    <n v="450"/>
    <n v="180"/>
    <n v="3.5"/>
    <x v="0"/>
    <n v="4.5"/>
    <n v="0.05"/>
    <n v="0.05"/>
    <n v="52650"/>
    <n v="50018"/>
    <n v="409.5"/>
    <n v="2500.9"/>
    <n v="2501"/>
    <n v="21060"/>
    <n v="23956.1"/>
    <n v="0.47894957815186501"/>
  </r>
  <r>
    <s v="ORD-1625"/>
    <d v="2026-05-27T01:00:00"/>
    <s v="P-001"/>
    <s v="BR-10"/>
    <x v="1"/>
    <n v="132"/>
    <x v="2"/>
    <n v="450"/>
    <n v="180"/>
    <n v="3.5"/>
    <x v="0"/>
    <n v="4.5"/>
    <n v="0.05"/>
    <n v="0.1"/>
    <n v="59400"/>
    <n v="53460"/>
    <n v="462"/>
    <n v="2673"/>
    <n v="2673"/>
    <n v="23760"/>
    <n v="24354"/>
    <n v="0.45555555555555599"/>
  </r>
  <r>
    <s v="ORD-1636"/>
    <d v="2026-05-27T12:00:00"/>
    <s v="P-001"/>
    <s v="BR-10"/>
    <x v="2"/>
    <n v="158"/>
    <x v="2"/>
    <n v="450"/>
    <n v="180"/>
    <n v="3.5"/>
    <x v="0"/>
    <n v="4.5"/>
    <n v="0.05"/>
    <n v="0.05"/>
    <n v="71100"/>
    <n v="67545"/>
    <n v="553"/>
    <n v="3377.25"/>
    <n v="3377"/>
    <n v="28440"/>
    <n v="32350.75"/>
    <n v="0.47895106965726603"/>
  </r>
  <r>
    <s v="ORD-1650"/>
    <d v="2026-05-28T02:00:00"/>
    <s v="P-001"/>
    <s v="BR-10"/>
    <x v="1"/>
    <n v="113"/>
    <x v="2"/>
    <n v="450"/>
    <n v="180"/>
    <n v="3.5"/>
    <x v="0"/>
    <n v="4.5"/>
    <n v="0.05"/>
    <n v="0.1"/>
    <n v="50850"/>
    <n v="45765"/>
    <n v="395.5"/>
    <n v="2288.25"/>
    <n v="2288"/>
    <n v="20340"/>
    <n v="20848.75"/>
    <n v="0.45556101824538398"/>
  </r>
  <r>
    <s v="ORD-1675"/>
    <d v="2026-05-29T03:00:00"/>
    <s v="P-001"/>
    <s v="BR-10"/>
    <x v="0"/>
    <n v="35"/>
    <x v="2"/>
    <n v="450"/>
    <n v="180"/>
    <n v="3.5"/>
    <x v="0"/>
    <n v="4.5"/>
    <n v="0.05"/>
    <n v="0.02"/>
    <n v="15750"/>
    <n v="15435"/>
    <n v="122.5"/>
    <n v="771.75"/>
    <n v="772"/>
    <n v="6300"/>
    <n v="7591.25"/>
    <n v="0.49182053773890499"/>
  </r>
  <r>
    <s v="ORD-1687"/>
    <d v="2026-05-29T15:00:00"/>
    <s v="P-001"/>
    <s v="BR-10"/>
    <x v="2"/>
    <n v="104"/>
    <x v="2"/>
    <n v="450"/>
    <n v="180"/>
    <n v="3.5"/>
    <x v="0"/>
    <n v="4.5"/>
    <n v="0.05"/>
    <n v="0.05"/>
    <n v="46800"/>
    <n v="44460"/>
    <n v="364"/>
    <n v="2223"/>
    <n v="2223"/>
    <n v="18720"/>
    <n v="21294"/>
    <n v="0.47894736842105301"/>
  </r>
  <r>
    <s v="ORD-1695"/>
    <d v="2026-05-29T23:00:00"/>
    <s v="P-001"/>
    <s v="BR-10"/>
    <x v="0"/>
    <n v="88"/>
    <x v="2"/>
    <n v="450"/>
    <n v="180"/>
    <n v="3.5"/>
    <x v="0"/>
    <n v="4.5"/>
    <n v="0.05"/>
    <n v="0.02"/>
    <n v="39600"/>
    <n v="38808"/>
    <n v="308"/>
    <n v="1940.4"/>
    <n v="1940"/>
    <n v="15840"/>
    <n v="19087.599999999999"/>
    <n v="0.49184704184704198"/>
  </r>
  <r>
    <s v="ORD-1712"/>
    <d v="2026-05-30T16:00:00"/>
    <s v="P-001"/>
    <s v="BR-10"/>
    <x v="0"/>
    <n v="30"/>
    <x v="2"/>
    <n v="450"/>
    <n v="180"/>
    <n v="3.5"/>
    <x v="0"/>
    <n v="4.5"/>
    <n v="0.05"/>
    <n v="0.02"/>
    <n v="13500"/>
    <n v="13230"/>
    <n v="105"/>
    <n v="661.5"/>
    <n v="662"/>
    <n v="5400"/>
    <n v="6506.5"/>
    <n v="0.49179894179894201"/>
  </r>
  <r>
    <s v="ORD-1729"/>
    <d v="2026-05-31T09:00:00"/>
    <s v="P-001"/>
    <s v="BR-10"/>
    <x v="1"/>
    <n v="194"/>
    <x v="2"/>
    <n v="450"/>
    <n v="180"/>
    <n v="3.5"/>
    <x v="0"/>
    <n v="4.5"/>
    <n v="0.05"/>
    <n v="0.1"/>
    <n v="87300"/>
    <n v="78570"/>
    <n v="679"/>
    <n v="3928.5"/>
    <n v="3928"/>
    <n v="34920"/>
    <n v="35793.5"/>
    <n v="0.45556191930762402"/>
  </r>
  <r>
    <s v="ORD-1740"/>
    <d v="2026-05-31T20:00:00"/>
    <s v="P-001"/>
    <s v="BR-10"/>
    <x v="1"/>
    <n v="23"/>
    <x v="2"/>
    <n v="450"/>
    <n v="180"/>
    <n v="3.5"/>
    <x v="0"/>
    <n v="4.5"/>
    <n v="0.05"/>
    <n v="0.1"/>
    <n v="10350"/>
    <n v="9315"/>
    <n v="80.5"/>
    <n v="465.75"/>
    <n v="466"/>
    <n v="4140"/>
    <n v="4243.25"/>
    <n v="0.45552871712291998"/>
  </r>
  <r>
    <s v="ORD-1754"/>
    <d v="2026-06-01T10:00:00"/>
    <s v="P-001"/>
    <s v="BR-10"/>
    <x v="2"/>
    <n v="52"/>
    <x v="2"/>
    <n v="450"/>
    <n v="180"/>
    <n v="3.5"/>
    <x v="0"/>
    <n v="4.5"/>
    <n v="0.05"/>
    <n v="0.05"/>
    <n v="23400"/>
    <n v="22230"/>
    <n v="182"/>
    <n v="1111.5"/>
    <n v="1112"/>
    <n v="9360"/>
    <n v="10646.5"/>
    <n v="0.478924876293297"/>
  </r>
  <r>
    <s v="ORD-1764"/>
    <d v="2026-06-01T20:00:00"/>
    <s v="P-001"/>
    <s v="BR-10"/>
    <x v="2"/>
    <n v="35"/>
    <x v="2"/>
    <n v="450"/>
    <n v="180"/>
    <n v="3.5"/>
    <x v="0"/>
    <n v="4.5"/>
    <n v="0.05"/>
    <n v="0.05"/>
    <n v="15750"/>
    <n v="14962"/>
    <n v="122.5"/>
    <n v="748.1"/>
    <n v="748"/>
    <n v="6300"/>
    <n v="7165.9"/>
    <n v="0.47893998128592402"/>
  </r>
  <r>
    <s v="ORD-1770"/>
    <d v="2026-06-02T02:00:00"/>
    <s v="P-001"/>
    <s v="BR-10"/>
    <x v="0"/>
    <n v="13"/>
    <x v="2"/>
    <n v="450"/>
    <n v="180"/>
    <n v="3.5"/>
    <x v="0"/>
    <n v="4.5"/>
    <n v="0.05"/>
    <n v="0.02"/>
    <n v="5850"/>
    <n v="5733"/>
    <n v="45.5"/>
    <n v="286.65000000000003"/>
    <n v="287"/>
    <n v="2340"/>
    <n v="2819.35"/>
    <n v="0.491775684632827"/>
  </r>
  <r>
    <s v="ORD-1797"/>
    <d v="2026-06-03T05:00:00"/>
    <s v="P-001"/>
    <s v="BR-10"/>
    <x v="1"/>
    <n v="16"/>
    <x v="2"/>
    <n v="450"/>
    <n v="180"/>
    <n v="3.5"/>
    <x v="0"/>
    <n v="4.5"/>
    <n v="0.05"/>
    <n v="0.1"/>
    <n v="7200"/>
    <n v="6480"/>
    <n v="56"/>
    <n v="324"/>
    <n v="324"/>
    <n v="2880"/>
    <n v="2952"/>
    <n v="0.45555555555555599"/>
  </r>
  <r>
    <s v="ORD-1819"/>
    <d v="2026-06-04T03:00:00"/>
    <s v="P-001"/>
    <s v="BR-10"/>
    <x v="1"/>
    <n v="144"/>
    <x v="2"/>
    <n v="450"/>
    <n v="180"/>
    <n v="3.5"/>
    <x v="0"/>
    <n v="4.5"/>
    <n v="0.05"/>
    <n v="0.1"/>
    <n v="64800"/>
    <n v="58320"/>
    <n v="504"/>
    <n v="2916"/>
    <n v="2916"/>
    <n v="25920"/>
    <n v="26568"/>
    <n v="0.45555555555555599"/>
  </r>
  <r>
    <s v="ORD-1831"/>
    <d v="2026-06-04T15:00:00"/>
    <s v="P-001"/>
    <s v="BR-10"/>
    <x v="0"/>
    <n v="47"/>
    <x v="2"/>
    <n v="450"/>
    <n v="180"/>
    <n v="3.5"/>
    <x v="0"/>
    <n v="4.5"/>
    <n v="0.05"/>
    <n v="0.02"/>
    <n v="21150"/>
    <n v="20727"/>
    <n v="164.5"/>
    <n v="1036.3500000000001"/>
    <n v="1036"/>
    <n v="8460"/>
    <n v="10194.65"/>
    <n v="0.49185362088097601"/>
  </r>
  <r>
    <s v="ORD-1844"/>
    <d v="2026-06-05T04:00:00"/>
    <s v="P-001"/>
    <s v="BR-10"/>
    <x v="0"/>
    <n v="160"/>
    <x v="2"/>
    <n v="450"/>
    <n v="180"/>
    <n v="3.5"/>
    <x v="0"/>
    <n v="4.5"/>
    <n v="0.05"/>
    <n v="0.02"/>
    <n v="72000"/>
    <n v="70560"/>
    <n v="560"/>
    <n v="3528"/>
    <n v="3528"/>
    <n v="28800"/>
    <n v="34704"/>
    <n v="0.49183673469387801"/>
  </r>
  <r>
    <s v="ORD-1860"/>
    <d v="2026-06-05T20:00:00"/>
    <s v="P-001"/>
    <s v="BR-10"/>
    <x v="2"/>
    <n v="15"/>
    <x v="2"/>
    <n v="450"/>
    <n v="180"/>
    <n v="3.5"/>
    <x v="0"/>
    <n v="4.5"/>
    <n v="0.05"/>
    <n v="0.05"/>
    <n v="6750"/>
    <n v="6412"/>
    <n v="52.5"/>
    <n v="320.60000000000002"/>
    <n v="321"/>
    <n v="2700"/>
    <n v="3070.4"/>
    <n v="0.47885215221459798"/>
  </r>
  <r>
    <s v="ORD-1882"/>
    <d v="2026-06-06T18:00:00"/>
    <s v="P-001"/>
    <s v="BR-10"/>
    <x v="2"/>
    <n v="100"/>
    <x v="2"/>
    <n v="450"/>
    <n v="180"/>
    <n v="3.5"/>
    <x v="0"/>
    <n v="4.5"/>
    <n v="0.05"/>
    <n v="0.05"/>
    <n v="45000"/>
    <n v="42750"/>
    <n v="350"/>
    <n v="2137.5"/>
    <n v="2138"/>
    <n v="18000"/>
    <n v="20474.5"/>
    <n v="0.47893567251461999"/>
  </r>
  <r>
    <s v="ORD-1883"/>
    <d v="2026-06-06T19:00:00"/>
    <s v="P-001"/>
    <s v="BR-10"/>
    <x v="0"/>
    <n v="85"/>
    <x v="2"/>
    <n v="450"/>
    <n v="180"/>
    <n v="3.5"/>
    <x v="0"/>
    <n v="4.5"/>
    <n v="0.05"/>
    <n v="0.02"/>
    <n v="38250"/>
    <n v="37485"/>
    <n v="297.5"/>
    <n v="1874.25"/>
    <n v="1874"/>
    <n v="15300"/>
    <n v="18436.75"/>
    <n v="0.49184340402827798"/>
  </r>
  <r>
    <s v="ORD-1907"/>
    <d v="2026-06-07T19:00:00"/>
    <s v="P-001"/>
    <s v="BR-10"/>
    <x v="1"/>
    <n v="126"/>
    <x v="2"/>
    <n v="450"/>
    <n v="180"/>
    <n v="3.5"/>
    <x v="0"/>
    <n v="4.5"/>
    <n v="0.05"/>
    <n v="0.1"/>
    <n v="56700"/>
    <n v="51030"/>
    <n v="441"/>
    <n v="2551.5"/>
    <n v="2552"/>
    <n v="22680"/>
    <n v="23246.5"/>
    <n v="0.455545757397609"/>
  </r>
  <r>
    <s v="ORD-1911"/>
    <d v="2026-06-07T23:00:00"/>
    <s v="P-001"/>
    <s v="BR-10"/>
    <x v="2"/>
    <n v="28"/>
    <x v="2"/>
    <n v="450"/>
    <n v="180"/>
    <n v="3.5"/>
    <x v="0"/>
    <n v="4.5"/>
    <n v="0.05"/>
    <n v="0.05"/>
    <n v="12600"/>
    <n v="11970"/>
    <n v="98"/>
    <n v="598.5"/>
    <n v="598"/>
    <n v="5040"/>
    <n v="5733.5"/>
    <n v="0.47898913951545502"/>
  </r>
  <r>
    <s v="ORD-1915"/>
    <d v="2026-06-08T03:00:00"/>
    <s v="P-001"/>
    <s v="BR-10"/>
    <x v="0"/>
    <n v="110"/>
    <x v="2"/>
    <n v="450"/>
    <n v="180"/>
    <n v="3.5"/>
    <x v="0"/>
    <n v="4.5"/>
    <n v="0.05"/>
    <n v="0.02"/>
    <n v="49500"/>
    <n v="48510"/>
    <n v="385"/>
    <n v="2425.5"/>
    <n v="2426"/>
    <n v="19800"/>
    <n v="23858.5"/>
    <n v="0.49182642754071298"/>
  </r>
  <r>
    <s v="ORD-1917"/>
    <d v="2026-06-08T05:00:00"/>
    <s v="P-001"/>
    <s v="BR-10"/>
    <x v="1"/>
    <n v="147"/>
    <x v="2"/>
    <n v="450"/>
    <n v="180"/>
    <n v="3.5"/>
    <x v="0"/>
    <n v="4.5"/>
    <n v="0.05"/>
    <n v="0.1"/>
    <n v="66150"/>
    <n v="59535"/>
    <n v="514.5"/>
    <n v="2976.75"/>
    <n v="2977"/>
    <n v="26460"/>
    <n v="27121.25"/>
    <n v="0.45555135634500699"/>
  </r>
  <r>
    <s v="ORD-1918"/>
    <d v="2026-06-08T06:00:00"/>
    <s v="P-001"/>
    <s v="BR-10"/>
    <x v="1"/>
    <n v="195"/>
    <x v="2"/>
    <n v="450"/>
    <n v="180"/>
    <n v="3.5"/>
    <x v="0"/>
    <n v="4.5"/>
    <n v="0.05"/>
    <n v="0.1"/>
    <n v="87750"/>
    <n v="78975"/>
    <n v="682.5"/>
    <n v="3948.75"/>
    <n v="3949"/>
    <n v="35100"/>
    <n v="35977.25"/>
    <n v="0.45555238999683401"/>
  </r>
  <r>
    <s v="ORD-1930"/>
    <d v="2026-06-08T18:00:00"/>
    <s v="P-001"/>
    <s v="BR-10"/>
    <x v="0"/>
    <n v="17"/>
    <x v="2"/>
    <n v="450"/>
    <n v="180"/>
    <n v="3.5"/>
    <x v="0"/>
    <n v="4.5"/>
    <n v="0.05"/>
    <n v="0.02"/>
    <n v="7650"/>
    <n v="7497"/>
    <n v="59.5"/>
    <n v="374.85"/>
    <n v="375"/>
    <n v="3060"/>
    <n v="3687.15"/>
    <n v="0.491816726690676"/>
  </r>
  <r>
    <s v="ORD-1937"/>
    <d v="2026-06-09T01:00:00"/>
    <s v="P-001"/>
    <s v="BR-10"/>
    <x v="1"/>
    <n v="145"/>
    <x v="2"/>
    <n v="450"/>
    <n v="180"/>
    <n v="3.5"/>
    <x v="0"/>
    <n v="4.5"/>
    <n v="0.05"/>
    <n v="0.1"/>
    <n v="65250"/>
    <n v="58725"/>
    <n v="507.5"/>
    <n v="2936.25"/>
    <n v="2936"/>
    <n v="26100"/>
    <n v="26752.75"/>
    <n v="0.45555981268624901"/>
  </r>
  <r>
    <s v="ORD-1954"/>
    <d v="2026-06-09T18:00:00"/>
    <s v="P-001"/>
    <s v="BR-10"/>
    <x v="2"/>
    <n v="191"/>
    <x v="2"/>
    <n v="450"/>
    <n v="180"/>
    <n v="3.5"/>
    <x v="0"/>
    <n v="4.5"/>
    <n v="0.05"/>
    <n v="0.05"/>
    <n v="85950"/>
    <n v="81652"/>
    <n v="668.5"/>
    <n v="4082.6000000000004"/>
    <n v="4083"/>
    <n v="34380"/>
    <n v="39106.400000000001"/>
    <n v="0.47893989124577502"/>
  </r>
  <r>
    <s v="ORD-1956"/>
    <d v="2026-06-09T20:00:00"/>
    <s v="P-001"/>
    <s v="BR-10"/>
    <x v="0"/>
    <n v="145"/>
    <x v="2"/>
    <n v="450"/>
    <n v="180"/>
    <n v="3.5"/>
    <x v="0"/>
    <n v="4.5"/>
    <n v="0.05"/>
    <n v="0.02"/>
    <n v="65250"/>
    <n v="63945"/>
    <n v="507.5"/>
    <n v="3197.25"/>
    <n v="3197"/>
    <n v="26100"/>
    <n v="31450.75"/>
    <n v="0.491840644303698"/>
  </r>
  <r>
    <s v="ORD-1960"/>
    <d v="2026-06-10T00:00:00"/>
    <s v="P-001"/>
    <s v="BR-10"/>
    <x v="2"/>
    <n v="173"/>
    <x v="2"/>
    <n v="450"/>
    <n v="180"/>
    <n v="3.5"/>
    <x v="0"/>
    <n v="4.5"/>
    <n v="0.05"/>
    <n v="0.05"/>
    <n v="77850"/>
    <n v="73958"/>
    <n v="605.5"/>
    <n v="3697.9"/>
    <n v="3698"/>
    <n v="31140"/>
    <n v="35422.1"/>
    <n v="0.478948862868114"/>
  </r>
  <r>
    <s v="ORD-1977"/>
    <d v="2026-06-10T17:00:00"/>
    <s v="P-001"/>
    <s v="BR-10"/>
    <x v="1"/>
    <n v="64"/>
    <x v="2"/>
    <n v="450"/>
    <n v="180"/>
    <n v="3.5"/>
    <x v="0"/>
    <n v="4.5"/>
    <n v="0.05"/>
    <n v="0.1"/>
    <n v="28800"/>
    <n v="25920"/>
    <n v="224"/>
    <n v="1296"/>
    <n v="1296"/>
    <n v="11520"/>
    <n v="11808"/>
    <n v="0.45555555555555599"/>
  </r>
  <r>
    <s v="ORD-1984"/>
    <d v="2026-06-11T00:00:00"/>
    <s v="P-001"/>
    <s v="BR-10"/>
    <x v="2"/>
    <n v="16"/>
    <x v="2"/>
    <n v="450"/>
    <n v="180"/>
    <n v="3.5"/>
    <x v="0"/>
    <n v="4.5"/>
    <n v="0.05"/>
    <n v="0.05"/>
    <n v="7200"/>
    <n v="6840"/>
    <n v="56"/>
    <n v="342"/>
    <n v="342"/>
    <n v="2880"/>
    <n v="3276"/>
    <n v="0.47894736842105301"/>
  </r>
  <r>
    <s v="ORD-1991"/>
    <d v="2026-06-11T07:00:00"/>
    <s v="P-001"/>
    <s v="BR-10"/>
    <x v="0"/>
    <n v="171"/>
    <x v="2"/>
    <n v="450"/>
    <n v="180"/>
    <n v="3.5"/>
    <x v="0"/>
    <n v="4.5"/>
    <n v="0.05"/>
    <n v="0.02"/>
    <n v="76950"/>
    <n v="75411"/>
    <n v="598.5"/>
    <n v="3770.55"/>
    <n v="3771"/>
    <n v="30780"/>
    <n v="37089.449999999997"/>
    <n v="0.491830767394677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EC13C7-2A4D-46CD-8C26-0CA836A42E1B}" name="produc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7" firstHeaderRow="1" firstDataRow="1" firstDataCol="1"/>
  <pivotFields count="26">
    <pivotField showAll="0"/>
    <pivotField numFmtId="22" showAll="0"/>
    <pivotField showAll="0"/>
    <pivotField showAll="0"/>
    <pivotField showAll="0">
      <items count="4">
        <item x="1"/>
        <item x="2"/>
        <item x="0"/>
        <item t="default"/>
      </items>
    </pivotField>
    <pivotField showAll="0"/>
    <pivotField axis="axisRow"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numFmtId="1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Sum of Net Profit" fld="20" baseField="0" baseItem="0" numFmtId="3"/>
  </dataFields>
  <formats count="2">
    <format dxfId="23">
      <pivotArea outline="0" collapsedLevelsAreSubtotals="1" fieldPosition="0"/>
    </format>
    <format dxfId="2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8FDB9F-871B-4268-8BEF-E6EFCB1E3D7A}"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9:J23" firstHeaderRow="0" firstDataRow="1" firstDataCol="1"/>
  <pivotFields count="26">
    <pivotField showAll="0"/>
    <pivotField numFmtId="22"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dataField="1" showAll="0"/>
    <pivotField dataField="1" showAll="0"/>
    <pivotField showAll="0"/>
    <pivotField numFmtId="10" showAl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10"/>
  </rowFields>
  <rowItems count="4">
    <i>
      <x/>
    </i>
    <i>
      <x v="1"/>
    </i>
    <i>
      <x v="2"/>
    </i>
    <i t="grand">
      <x/>
    </i>
  </rowItems>
  <colFields count="1">
    <field x="-2"/>
  </colFields>
  <colItems count="6">
    <i>
      <x/>
    </i>
    <i i="1">
      <x v="1"/>
    </i>
    <i i="2">
      <x v="2"/>
    </i>
    <i i="3">
      <x v="3"/>
    </i>
    <i i="4">
      <x v="4"/>
    </i>
    <i i="5">
      <x v="5"/>
    </i>
  </colItems>
  <dataFields count="6">
    <dataField name=" Cost Of Good Sold" fld="19" baseField="10" baseItem="0"/>
    <dataField name=" Shipping Costs" fld="17" baseField="10" baseItem="0"/>
    <dataField name=" Customs Expenses" fld="18" baseField="10" baseItem="0"/>
    <dataField name=" Logistics_cost_To_COGS_pct" fld="23" baseField="10" baseItem="0" numFmtId="10"/>
    <dataField name=" Actual_Net_Profit" fld="24" baseField="10" baseItem="0"/>
    <dataField name=" Actual_Net_Profit_Margin_pct" fld="25" baseField="10" baseItem="0" numFmtId="10"/>
  </dataFields>
  <formats count="4">
    <format dxfId="24">
      <pivotArea outline="0" collapsedLevelsAreSubtotals="1" fieldPosition="0"/>
    </format>
    <format dxfId="13">
      <pivotArea outline="0" collapsedLevelsAreSubtotals="1" fieldPosition="0">
        <references count="1">
          <reference field="4294967294" count="1" selected="0">
            <x v="3"/>
          </reference>
        </references>
      </pivotArea>
    </format>
    <format dxfId="12">
      <pivotArea dataOnly="0" labelOnly="1" outline="0" fieldPosition="0">
        <references count="1">
          <reference field="4294967294" count="1">
            <x v="3"/>
          </reference>
        </references>
      </pivotArea>
    </format>
    <format dxfId="8">
      <pivotArea outline="0" fieldPosition="0">
        <references count="1">
          <reference field="4294967294" count="1">
            <x v="5"/>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5BF1BB-EBB6-4047-A2FD-70F294F510A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5" firstHeaderRow="1" firstDataRow="1" firstDataCol="1"/>
  <pivotFields count="26">
    <pivotField showAll="0"/>
    <pivotField numFmtId="22" showAll="0"/>
    <pivotField showAll="0"/>
    <pivotField showAll="0"/>
    <pivotField showAll="0">
      <items count="4">
        <item x="1"/>
        <item x="2"/>
        <item x="0"/>
        <item t="default"/>
      </items>
    </pivotField>
    <pivotField showAll="0"/>
    <pivotField axis="axisRow"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numFmtId="10"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Sum of Profit Margin%" fld="22" baseField="0" baseItem="0"/>
  </dataFields>
  <formats count="2">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2F70A9-4B0D-4F6A-B04A-21D1B4577CF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3:P7" firstHeaderRow="1" firstDataRow="1" firstDataCol="1"/>
  <pivotFields count="26">
    <pivotField showAll="0"/>
    <pivotField numFmtId="22" showAll="0"/>
    <pivotField showAll="0"/>
    <pivotField showAll="0"/>
    <pivotField showAll="0">
      <items count="4">
        <item x="1"/>
        <item x="2"/>
        <item x="0"/>
        <item t="default"/>
      </items>
    </pivotField>
    <pivotField showAll="0"/>
    <pivotField axis="axisRow"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pivotField dataField="1" showAll="0"/>
    <pivotField showAll="0"/>
    <pivotField showAll="0"/>
    <pivotField showAll="0"/>
    <pivotField showAll="0"/>
    <pivotField showAll="0"/>
    <pivotField showAll="0"/>
    <pivotField numFmtId="1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Sum of Gross revenue" fld="14"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953618-108C-4B05-9FD1-1D982C5A024A}" name="cit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numFmtId="22" showAll="0"/>
    <pivotField showAll="0"/>
    <pivotField showAll="0"/>
    <pivotField showAll="0">
      <items count="4">
        <item x="1"/>
        <item x="2"/>
        <item x="0"/>
        <item t="default"/>
      </items>
    </pivotField>
    <pivotField showAll="0"/>
    <pivotField showAll="0">
      <items count="4">
        <item x="0"/>
        <item x="1"/>
        <item x="2"/>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numFmtId="10"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Net Profit" fld="20" baseField="0" baseItem="0" numFmtId="3"/>
  </dataFields>
  <formats count="2">
    <format dxfId="29">
      <pivotArea outline="0" collapsedLevelsAreSubtotals="1" fieldPosition="0"/>
    </format>
    <format dxfId="2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FA2C00A-44E6-4664-AA50-C32581E1000E}" autoFormatId="16" applyNumberFormats="0" applyBorderFormats="0" applyFontFormats="0" applyPatternFormats="0" applyAlignmentFormats="0" applyWidthHeightFormats="0">
  <queryTableRefresh nextId="23">
    <queryTableFields count="22">
      <queryTableField id="1" name="Order_ID" tableColumnId="1"/>
      <queryTableField id="2" name="Date" tableColumnId="2"/>
      <queryTableField id="3" name="Product_ID" tableColumnId="3"/>
      <queryTableField id="4" name="Branch_ID" tableColumnId="4"/>
      <queryTableField id="5" name="Customer_Tier" tableColumnId="5"/>
      <queryTableField id="6" name="Quantity" tableColumnId="6"/>
      <queryTableField id="7" name="Product_Name" tableColumnId="7"/>
      <queryTableField id="8" name="Unit_Price" tableColumnId="8"/>
      <queryTableField id="9" name="Std_Cost" tableColumnId="9"/>
      <queryTableField id="10" name="Weight_KG" tableColumnId="10"/>
      <queryTableField id="11" name="Branch_City" tableColumnId="11"/>
      <queryTableField id="12" name="Ship_Rate_Per_KG" tableColumnId="12"/>
      <queryTableField id="13" name="Customs_Rate" tableColumnId="13"/>
      <queryTableField id="14" name="Discount_Rate" tableColumnId="14"/>
      <queryTableField id="15" name="Gross revenue" tableColumnId="15"/>
      <queryTableField id="16" name="Net Sales" tableColumnId="16"/>
      <queryTableField id="17" name="Total Weight" tableColumnId="17"/>
      <queryTableField id="18" name="Shipping Costs" tableColumnId="18"/>
      <queryTableField id="19" name="Customs Expenses" tableColumnId="19"/>
      <queryTableField id="20" name="Cost Of Good Sold" tableColumnId="20"/>
      <queryTableField id="21" name="Net Profit" tableColumnId="21"/>
      <queryTableField id="22" name="Profit Margin" tableColumnId="22"/>
    </queryTableFields>
  </queryTableRefresh>
  <extLst>
    <ext xmlns:x15="http://schemas.microsoft.com/office/spreadsheetml/2010/11/main" uri="{883FBD77-0823-4a55-B5E3-86C4891E6966}">
      <x15:queryTable sourceDataName="Query - Fact_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E40ACA0-DD2D-47F3-B105-26E94A281333}" sourceName="Product_Name">
  <pivotTables>
    <pivotTable tabId="2" name="city"/>
    <pivotTable tabId="2" name="product"/>
    <pivotTable tabId="2" name="PivotTable1"/>
    <pivotTable tabId="2" name="PivotTable2"/>
  </pivotTables>
  <data>
    <tabular pivotCacheId="66372408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City" xr10:uid="{9BFF1008-7681-4511-A2DE-70B7DB3EF91E}" sourceName="Branch_City">
  <pivotTables>
    <pivotTable tabId="2" name="city"/>
    <pivotTable tabId="2" name="product"/>
    <pivotTable tabId="2" name="PivotTable1"/>
    <pivotTable tabId="2" name="PivotTable2"/>
  </pivotTables>
  <data>
    <tabular pivotCacheId="66372408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ier" xr10:uid="{3DBAD6FA-BBAE-4AB8-AFE7-FC91EF62E774}" sourceName="Customer_Tier">
  <pivotTables>
    <pivotTable tabId="2" name="city"/>
    <pivotTable tabId="2" name="product"/>
    <pivotTable tabId="2" name="PivotTable1"/>
    <pivotTable tabId="2" name="PivotTable2"/>
  </pivotTables>
  <data>
    <tabular pivotCacheId="66372408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A2EB0BF8-F950-4904-8C02-AA49722A8FF6}" cache="Slicer_Product_Name" caption="Product_Name" style="SlicerStyleDark3" rowHeight="241300"/>
  <slicer name="Branch_City" xr10:uid="{BB80CB75-A83F-4297-BBCE-A3AAB86E491D}" cache="Slicer_Branch_City" caption="Branch_City" style="SlicerStyleDark3" rowHeight="241300"/>
  <slicer name="Customer_Tier" xr10:uid="{9B0FE10E-30A8-412E-8398-002EA1BFEA88}" cache="Slicer_Customer_Tier" caption="Customer_Tier"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51FB88-029C-4148-91A6-BE55392AC200}" name="Fact_Sales" displayName="Fact_Sales" ref="N13:AI1013" tableType="queryTable" totalsRowShown="0">
  <autoFilter ref="N13:AI1013" xr:uid="{7F51FB88-029C-4148-91A6-BE55392AC200}"/>
  <tableColumns count="22">
    <tableColumn id="1" xr3:uid="{39E2BCCC-9B35-4B39-81F2-5B49A8F63E2A}" uniqueName="1" name="Order_ID" queryTableFieldId="1" dataDxfId="21"/>
    <tableColumn id="2" xr3:uid="{90263E29-C46F-49BF-B52A-9EFE2311E2C0}" uniqueName="2" name="Date" queryTableFieldId="2" dataDxfId="20"/>
    <tableColumn id="3" xr3:uid="{7AD44D0B-0FC5-47BC-A1D1-F12F8B65B988}" uniqueName="3" name="Product_ID" queryTableFieldId="3" dataDxfId="19"/>
    <tableColumn id="4" xr3:uid="{07487C3B-6E40-48A5-8280-E47AE99C7F98}" uniqueName="4" name="Branch_ID" queryTableFieldId="4" dataDxfId="18"/>
    <tableColumn id="5" xr3:uid="{F39B22A0-751A-40AB-9F70-7D363D0C0FFB}" uniqueName="5" name="Customer_Tier" queryTableFieldId="5" dataDxfId="17"/>
    <tableColumn id="6" xr3:uid="{35129805-D7D5-4076-827D-F736A15E7D89}" uniqueName="6" name="Quantity" queryTableFieldId="6"/>
    <tableColumn id="7" xr3:uid="{74395E69-6420-429F-85D9-72033546059E}" uniqueName="7" name="Product_Name" queryTableFieldId="7" dataDxfId="16"/>
    <tableColumn id="8" xr3:uid="{7A5E8B05-742E-4B76-AC83-AFE7D6CAC6AD}" uniqueName="8" name="Unit_Price" queryTableFieldId="8"/>
    <tableColumn id="9" xr3:uid="{647D41E6-61BD-4A7B-9250-4C21146719C1}" uniqueName="9" name="Std_Cost" queryTableFieldId="9"/>
    <tableColumn id="10" xr3:uid="{75197E35-5AC8-4BC0-9FB5-9A962D743E04}" uniqueName="10" name="Weight_KG" queryTableFieldId="10"/>
    <tableColumn id="11" xr3:uid="{4B08CB10-8EE5-44CE-8704-CCDCAC46C58F}" uniqueName="11" name="Branch_City" queryTableFieldId="11" dataDxfId="15"/>
    <tableColumn id="12" xr3:uid="{CC082BA4-628F-43F8-AA11-6695CBDD254A}" uniqueName="12" name="Ship_Rate_Per_KG" queryTableFieldId="12"/>
    <tableColumn id="13" xr3:uid="{4703B63C-5A4A-45BE-9B0A-C7CD717F4F16}" uniqueName="13" name="Customs_Rate" queryTableFieldId="13"/>
    <tableColumn id="14" xr3:uid="{FDE1ADFB-6ED9-4C72-BCE5-F2DEF3604CAA}" uniqueName="14" name="Discount_Rate" queryTableFieldId="14"/>
    <tableColumn id="15" xr3:uid="{3C5A8F20-F868-43B8-88A2-86C555B02DFE}" uniqueName="15" name="Gross revenue" queryTableFieldId="15"/>
    <tableColumn id="16" xr3:uid="{B493021A-9091-438D-BE98-2330DD2657E1}" uniqueName="16" name="Net Sales" queryTableFieldId="16"/>
    <tableColumn id="17" xr3:uid="{E78FDC69-B4F7-4290-A273-27B8EAEF4394}" uniqueName="17" name="Total Weight" queryTableFieldId="17"/>
    <tableColumn id="18" xr3:uid="{19CF8A4C-8541-48AE-B27F-1DEB01360DAA}" uniqueName="18" name="Shipping Costs" queryTableFieldId="18"/>
    <tableColumn id="19" xr3:uid="{840B4AA8-DA70-4101-BC57-64C0B877FCA2}" uniqueName="19" name="Customs Expenses" queryTableFieldId="19"/>
    <tableColumn id="20" xr3:uid="{57B840FF-5BF0-4106-B0E0-3A50C0D1C559}" uniqueName="20" name="Cost Of Good Sold" queryTableFieldId="20"/>
    <tableColumn id="21" xr3:uid="{097155FD-F26C-47CE-AD5D-6AC016008E17}" uniqueName="21" name="Net Profit" queryTableFieldId="21"/>
    <tableColumn id="22" xr3:uid="{38ADD957-1BB5-4C5B-83C5-F03FB023E816}" uniqueName="22" name="Profit Margin" queryTableFieldId="22" dataDxfId="14"/>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92A94-F18A-4CEB-B115-9C5E55AF75C9}">
  <dimension ref="N13:AI1013"/>
  <sheetViews>
    <sheetView topLeftCell="Z983" workbookViewId="0">
      <selection activeCell="AA41" sqref="AA41"/>
    </sheetView>
  </sheetViews>
  <sheetFormatPr defaultRowHeight="15" x14ac:dyDescent="0.25"/>
  <cols>
    <col min="14" max="14" width="11.28515625" bestFit="1" customWidth="1"/>
    <col min="15" max="15" width="14.85546875" bestFit="1" customWidth="1"/>
    <col min="16" max="16" width="13" bestFit="1" customWidth="1"/>
    <col min="17" max="17" width="12.140625" bestFit="1" customWidth="1"/>
    <col min="18" max="18" width="16.42578125" bestFit="1" customWidth="1"/>
    <col min="19" max="19" width="11" bestFit="1" customWidth="1"/>
    <col min="20" max="20" width="18.28515625" bestFit="1" customWidth="1"/>
    <col min="21" max="21" width="12.5703125" bestFit="1" customWidth="1"/>
    <col min="22" max="22" width="11" bestFit="1" customWidth="1"/>
    <col min="23" max="23" width="13.42578125" bestFit="1" customWidth="1"/>
    <col min="24" max="24" width="13.7109375" bestFit="1" customWidth="1"/>
    <col min="25" max="25" width="20" bestFit="1" customWidth="1"/>
    <col min="26" max="26" width="16" bestFit="1" customWidth="1"/>
    <col min="27" max="27" width="16.140625" bestFit="1" customWidth="1"/>
    <col min="28" max="28" width="16.28515625" bestFit="1" customWidth="1"/>
    <col min="29" max="29" width="11.5703125" bestFit="1" customWidth="1"/>
    <col min="30" max="30" width="14.7109375" bestFit="1" customWidth="1"/>
    <col min="31" max="31" width="16.28515625" bestFit="1" customWidth="1"/>
    <col min="32" max="32" width="19.85546875" bestFit="1" customWidth="1"/>
    <col min="33" max="33" width="19.5703125" bestFit="1" customWidth="1"/>
    <col min="34" max="34" width="12" bestFit="1" customWidth="1"/>
    <col min="35" max="35" width="15" style="5" bestFit="1" customWidth="1"/>
  </cols>
  <sheetData>
    <row r="13" spans="14:35" x14ac:dyDescent="0.25">
      <c r="N13" t="s">
        <v>0</v>
      </c>
      <c r="O13" t="s">
        <v>1</v>
      </c>
      <c r="P13" t="s">
        <v>2</v>
      </c>
      <c r="Q13" t="s">
        <v>3</v>
      </c>
      <c r="R13" t="s">
        <v>4</v>
      </c>
      <c r="S13" t="s">
        <v>5</v>
      </c>
      <c r="T13" t="s">
        <v>6</v>
      </c>
      <c r="U13" t="s">
        <v>7</v>
      </c>
      <c r="V13" t="s">
        <v>8</v>
      </c>
      <c r="W13" t="s">
        <v>9</v>
      </c>
      <c r="X13" t="s">
        <v>10</v>
      </c>
      <c r="Y13" t="s">
        <v>11</v>
      </c>
      <c r="Z13" t="s">
        <v>12</v>
      </c>
      <c r="AA13" t="s">
        <v>13</v>
      </c>
      <c r="AB13" t="s">
        <v>14</v>
      </c>
      <c r="AC13" t="s">
        <v>15</v>
      </c>
      <c r="AD13" t="s">
        <v>16</v>
      </c>
      <c r="AE13" t="s">
        <v>17</v>
      </c>
      <c r="AF13" t="s">
        <v>18</v>
      </c>
      <c r="AG13" t="s">
        <v>19</v>
      </c>
      <c r="AH13" t="s">
        <v>20</v>
      </c>
      <c r="AI13" s="5" t="s">
        <v>1040</v>
      </c>
    </row>
    <row r="14" spans="14:35" x14ac:dyDescent="0.25">
      <c r="N14" t="s">
        <v>21</v>
      </c>
      <c r="O14" s="1">
        <v>46143.125</v>
      </c>
      <c r="P14" t="s">
        <v>22</v>
      </c>
      <c r="Q14" t="s">
        <v>23</v>
      </c>
      <c r="R14" t="s">
        <v>24</v>
      </c>
      <c r="S14">
        <v>106</v>
      </c>
      <c r="T14" t="s">
        <v>25</v>
      </c>
      <c r="U14">
        <v>150</v>
      </c>
      <c r="V14">
        <v>65</v>
      </c>
      <c r="W14">
        <v>1.8</v>
      </c>
      <c r="X14" t="s">
        <v>26</v>
      </c>
      <c r="Y14">
        <v>4.5</v>
      </c>
      <c r="Z14">
        <v>0.05</v>
      </c>
      <c r="AA14">
        <v>0.02</v>
      </c>
      <c r="AB14">
        <v>15900</v>
      </c>
      <c r="AC14">
        <v>15582</v>
      </c>
      <c r="AD14">
        <v>190.8</v>
      </c>
      <c r="AE14">
        <v>779.1</v>
      </c>
      <c r="AF14">
        <v>779</v>
      </c>
      <c r="AG14">
        <v>6890</v>
      </c>
      <c r="AH14">
        <v>7133.9</v>
      </c>
      <c r="AI14" s="5">
        <v>0.45782954691310501</v>
      </c>
    </row>
    <row r="15" spans="14:35" x14ac:dyDescent="0.25">
      <c r="N15" t="s">
        <v>27</v>
      </c>
      <c r="O15" s="1">
        <v>46143.208333333336</v>
      </c>
      <c r="P15" t="s">
        <v>22</v>
      </c>
      <c r="Q15" t="s">
        <v>23</v>
      </c>
      <c r="R15" t="s">
        <v>24</v>
      </c>
      <c r="S15">
        <v>26</v>
      </c>
      <c r="T15" t="s">
        <v>25</v>
      </c>
      <c r="U15">
        <v>150</v>
      </c>
      <c r="V15">
        <v>65</v>
      </c>
      <c r="W15">
        <v>1.8</v>
      </c>
      <c r="X15" t="s">
        <v>26</v>
      </c>
      <c r="Y15">
        <v>4.5</v>
      </c>
      <c r="Z15">
        <v>0.05</v>
      </c>
      <c r="AA15">
        <v>0.02</v>
      </c>
      <c r="AB15">
        <v>3900</v>
      </c>
      <c r="AC15">
        <v>3822</v>
      </c>
      <c r="AD15">
        <v>46.800000000000004</v>
      </c>
      <c r="AE15">
        <v>191.10000000000002</v>
      </c>
      <c r="AF15">
        <v>191</v>
      </c>
      <c r="AG15">
        <v>1690</v>
      </c>
      <c r="AH15">
        <v>1749.9</v>
      </c>
      <c r="AI15" s="5">
        <v>0.45784929356357901</v>
      </c>
    </row>
    <row r="16" spans="14:35" x14ac:dyDescent="0.25">
      <c r="N16" t="s">
        <v>28</v>
      </c>
      <c r="O16" s="1">
        <v>46143.25</v>
      </c>
      <c r="P16" t="s">
        <v>22</v>
      </c>
      <c r="Q16" t="s">
        <v>23</v>
      </c>
      <c r="R16" t="s">
        <v>29</v>
      </c>
      <c r="S16">
        <v>55</v>
      </c>
      <c r="T16" t="s">
        <v>25</v>
      </c>
      <c r="U16">
        <v>150</v>
      </c>
      <c r="V16">
        <v>65</v>
      </c>
      <c r="W16">
        <v>1.8</v>
      </c>
      <c r="X16" t="s">
        <v>26</v>
      </c>
      <c r="Y16">
        <v>4.5</v>
      </c>
      <c r="Z16">
        <v>0.05</v>
      </c>
      <c r="AA16">
        <v>0.1</v>
      </c>
      <c r="AB16">
        <v>8250</v>
      </c>
      <c r="AC16">
        <v>7425</v>
      </c>
      <c r="AD16">
        <v>99</v>
      </c>
      <c r="AE16">
        <v>371.25</v>
      </c>
      <c r="AF16">
        <v>371</v>
      </c>
      <c r="AG16">
        <v>3575</v>
      </c>
      <c r="AH16">
        <v>3107.75</v>
      </c>
      <c r="AI16" s="5">
        <v>0.41855218855218901</v>
      </c>
    </row>
    <row r="17" spans="14:35" x14ac:dyDescent="0.25">
      <c r="N17" t="s">
        <v>30</v>
      </c>
      <c r="O17" s="1">
        <v>46143.458333333336</v>
      </c>
      <c r="P17" t="s">
        <v>22</v>
      </c>
      <c r="Q17" t="s">
        <v>23</v>
      </c>
      <c r="R17" t="s">
        <v>29</v>
      </c>
      <c r="S17">
        <v>67</v>
      </c>
      <c r="T17" t="s">
        <v>25</v>
      </c>
      <c r="U17">
        <v>150</v>
      </c>
      <c r="V17">
        <v>65</v>
      </c>
      <c r="W17">
        <v>1.8</v>
      </c>
      <c r="X17" t="s">
        <v>26</v>
      </c>
      <c r="Y17">
        <v>4.5</v>
      </c>
      <c r="Z17">
        <v>0.05</v>
      </c>
      <c r="AA17">
        <v>0.1</v>
      </c>
      <c r="AB17">
        <v>10050</v>
      </c>
      <c r="AC17">
        <v>9045</v>
      </c>
      <c r="AD17">
        <v>120.60000000000001</v>
      </c>
      <c r="AE17">
        <v>452.25</v>
      </c>
      <c r="AF17">
        <v>452</v>
      </c>
      <c r="AG17">
        <v>4355</v>
      </c>
      <c r="AH17">
        <v>3785.75</v>
      </c>
      <c r="AI17" s="5">
        <v>0.41854615809839701</v>
      </c>
    </row>
    <row r="18" spans="14:35" x14ac:dyDescent="0.25">
      <c r="N18" t="s">
        <v>31</v>
      </c>
      <c r="O18" s="1">
        <v>46143.708333333336</v>
      </c>
      <c r="P18" t="s">
        <v>22</v>
      </c>
      <c r="Q18" t="s">
        <v>23</v>
      </c>
      <c r="R18" t="s">
        <v>32</v>
      </c>
      <c r="S18">
        <v>54</v>
      </c>
      <c r="T18" t="s">
        <v>25</v>
      </c>
      <c r="U18">
        <v>150</v>
      </c>
      <c r="V18">
        <v>65</v>
      </c>
      <c r="W18">
        <v>1.8</v>
      </c>
      <c r="X18" t="s">
        <v>26</v>
      </c>
      <c r="Y18">
        <v>4.5</v>
      </c>
      <c r="Z18">
        <v>0.05</v>
      </c>
      <c r="AA18">
        <v>0.05</v>
      </c>
      <c r="AB18">
        <v>8100</v>
      </c>
      <c r="AC18">
        <v>7695</v>
      </c>
      <c r="AD18">
        <v>97.2</v>
      </c>
      <c r="AE18">
        <v>384.75</v>
      </c>
      <c r="AF18">
        <v>385</v>
      </c>
      <c r="AG18">
        <v>3510</v>
      </c>
      <c r="AH18">
        <v>3415.25</v>
      </c>
      <c r="AI18" s="5">
        <v>0.44382716049382698</v>
      </c>
    </row>
    <row r="19" spans="14:35" x14ac:dyDescent="0.25">
      <c r="N19" t="s">
        <v>33</v>
      </c>
      <c r="O19" s="1">
        <v>46144.333333333336</v>
      </c>
      <c r="P19" t="s">
        <v>22</v>
      </c>
      <c r="Q19" t="s">
        <v>23</v>
      </c>
      <c r="R19" t="s">
        <v>24</v>
      </c>
      <c r="S19">
        <v>15</v>
      </c>
      <c r="T19" t="s">
        <v>25</v>
      </c>
      <c r="U19">
        <v>150</v>
      </c>
      <c r="V19">
        <v>65</v>
      </c>
      <c r="W19">
        <v>1.8</v>
      </c>
      <c r="X19" t="s">
        <v>26</v>
      </c>
      <c r="Y19">
        <v>4.5</v>
      </c>
      <c r="Z19">
        <v>0.05</v>
      </c>
      <c r="AA19">
        <v>0.02</v>
      </c>
      <c r="AB19">
        <v>2250</v>
      </c>
      <c r="AC19">
        <v>2205</v>
      </c>
      <c r="AD19">
        <v>27</v>
      </c>
      <c r="AE19">
        <v>110.25</v>
      </c>
      <c r="AF19">
        <v>110</v>
      </c>
      <c r="AG19">
        <v>975</v>
      </c>
      <c r="AH19">
        <v>1009.75</v>
      </c>
      <c r="AI19" s="5">
        <v>0.45793650793650797</v>
      </c>
    </row>
    <row r="20" spans="14:35" x14ac:dyDescent="0.25">
      <c r="N20" t="s">
        <v>34</v>
      </c>
      <c r="O20" s="1">
        <v>46144.458333333336</v>
      </c>
      <c r="P20" t="s">
        <v>22</v>
      </c>
      <c r="Q20" t="s">
        <v>23</v>
      </c>
      <c r="R20" t="s">
        <v>29</v>
      </c>
      <c r="S20">
        <v>146</v>
      </c>
      <c r="T20" t="s">
        <v>25</v>
      </c>
      <c r="U20">
        <v>150</v>
      </c>
      <c r="V20">
        <v>65</v>
      </c>
      <c r="W20">
        <v>1.8</v>
      </c>
      <c r="X20" t="s">
        <v>26</v>
      </c>
      <c r="Y20">
        <v>4.5</v>
      </c>
      <c r="Z20">
        <v>0.05</v>
      </c>
      <c r="AA20">
        <v>0.1</v>
      </c>
      <c r="AB20">
        <v>21900</v>
      </c>
      <c r="AC20">
        <v>19710</v>
      </c>
      <c r="AD20">
        <v>262.8</v>
      </c>
      <c r="AE20">
        <v>985.5</v>
      </c>
      <c r="AF20">
        <v>986</v>
      </c>
      <c r="AG20">
        <v>9490</v>
      </c>
      <c r="AH20">
        <v>8248.5</v>
      </c>
      <c r="AI20" s="5">
        <v>0.41849315068493198</v>
      </c>
    </row>
    <row r="21" spans="14:35" x14ac:dyDescent="0.25">
      <c r="N21" t="s">
        <v>35</v>
      </c>
      <c r="O21" s="1">
        <v>46144.5</v>
      </c>
      <c r="P21" t="s">
        <v>22</v>
      </c>
      <c r="Q21" t="s">
        <v>23</v>
      </c>
      <c r="R21" t="s">
        <v>24</v>
      </c>
      <c r="S21">
        <v>103</v>
      </c>
      <c r="T21" t="s">
        <v>25</v>
      </c>
      <c r="U21">
        <v>150</v>
      </c>
      <c r="V21">
        <v>65</v>
      </c>
      <c r="W21">
        <v>1.8</v>
      </c>
      <c r="X21" t="s">
        <v>26</v>
      </c>
      <c r="Y21">
        <v>4.5</v>
      </c>
      <c r="Z21">
        <v>0.05</v>
      </c>
      <c r="AA21">
        <v>0.02</v>
      </c>
      <c r="AB21">
        <v>15450</v>
      </c>
      <c r="AC21">
        <v>15141</v>
      </c>
      <c r="AD21">
        <v>185.4</v>
      </c>
      <c r="AE21">
        <v>757.05000000000007</v>
      </c>
      <c r="AF21">
        <v>757</v>
      </c>
      <c r="AG21">
        <v>6695</v>
      </c>
      <c r="AH21">
        <v>6931.9500000000007</v>
      </c>
      <c r="AI21" s="5">
        <v>0.45782643154349101</v>
      </c>
    </row>
    <row r="22" spans="14:35" x14ac:dyDescent="0.25">
      <c r="N22" t="s">
        <v>36</v>
      </c>
      <c r="O22" s="1">
        <v>46145</v>
      </c>
      <c r="P22" t="s">
        <v>22</v>
      </c>
      <c r="Q22" t="s">
        <v>23</v>
      </c>
      <c r="R22" t="s">
        <v>29</v>
      </c>
      <c r="S22">
        <v>191</v>
      </c>
      <c r="T22" t="s">
        <v>25</v>
      </c>
      <c r="U22">
        <v>150</v>
      </c>
      <c r="V22">
        <v>65</v>
      </c>
      <c r="W22">
        <v>1.8</v>
      </c>
      <c r="X22" t="s">
        <v>26</v>
      </c>
      <c r="Y22">
        <v>4.5</v>
      </c>
      <c r="Z22">
        <v>0.05</v>
      </c>
      <c r="AA22">
        <v>0.1</v>
      </c>
      <c r="AB22">
        <v>28650</v>
      </c>
      <c r="AC22">
        <v>25785</v>
      </c>
      <c r="AD22">
        <v>343.8</v>
      </c>
      <c r="AE22">
        <v>1289.25</v>
      </c>
      <c r="AF22">
        <v>1289</v>
      </c>
      <c r="AG22">
        <v>12415</v>
      </c>
      <c r="AH22">
        <v>10791.75</v>
      </c>
      <c r="AI22" s="5">
        <v>0.41852821407795199</v>
      </c>
    </row>
    <row r="23" spans="14:35" x14ac:dyDescent="0.25">
      <c r="N23" t="s">
        <v>37</v>
      </c>
      <c r="O23" s="1">
        <v>46145.166666666664</v>
      </c>
      <c r="P23" t="s">
        <v>22</v>
      </c>
      <c r="Q23" t="s">
        <v>23</v>
      </c>
      <c r="R23" t="s">
        <v>24</v>
      </c>
      <c r="S23">
        <v>28</v>
      </c>
      <c r="T23" t="s">
        <v>25</v>
      </c>
      <c r="U23">
        <v>150</v>
      </c>
      <c r="V23">
        <v>65</v>
      </c>
      <c r="W23">
        <v>1.8</v>
      </c>
      <c r="X23" t="s">
        <v>26</v>
      </c>
      <c r="Y23">
        <v>4.5</v>
      </c>
      <c r="Z23">
        <v>0.05</v>
      </c>
      <c r="AA23">
        <v>0.02</v>
      </c>
      <c r="AB23">
        <v>4200</v>
      </c>
      <c r="AC23">
        <v>4116</v>
      </c>
      <c r="AD23">
        <v>50.4</v>
      </c>
      <c r="AE23">
        <v>205.8</v>
      </c>
      <c r="AF23">
        <v>206</v>
      </c>
      <c r="AG23">
        <v>1820</v>
      </c>
      <c r="AH23">
        <v>1884.1999999999998</v>
      </c>
      <c r="AI23" s="5">
        <v>0.457774538386783</v>
      </c>
    </row>
    <row r="24" spans="14:35" x14ac:dyDescent="0.25">
      <c r="N24" t="s">
        <v>38</v>
      </c>
      <c r="O24" s="1">
        <v>46145.25</v>
      </c>
      <c r="P24" t="s">
        <v>22</v>
      </c>
      <c r="Q24" t="s">
        <v>23</v>
      </c>
      <c r="R24" t="s">
        <v>32</v>
      </c>
      <c r="S24">
        <v>14</v>
      </c>
      <c r="T24" t="s">
        <v>25</v>
      </c>
      <c r="U24">
        <v>150</v>
      </c>
      <c r="V24">
        <v>65</v>
      </c>
      <c r="W24">
        <v>1.8</v>
      </c>
      <c r="X24" t="s">
        <v>26</v>
      </c>
      <c r="Y24">
        <v>4.5</v>
      </c>
      <c r="Z24">
        <v>0.05</v>
      </c>
      <c r="AA24">
        <v>0.05</v>
      </c>
      <c r="AB24">
        <v>2100</v>
      </c>
      <c r="AC24">
        <v>1995</v>
      </c>
      <c r="AD24">
        <v>25.2</v>
      </c>
      <c r="AE24">
        <v>99.75</v>
      </c>
      <c r="AF24">
        <v>100</v>
      </c>
      <c r="AG24">
        <v>910</v>
      </c>
      <c r="AH24">
        <v>885.25</v>
      </c>
      <c r="AI24" s="5">
        <v>0.44373433583959898</v>
      </c>
    </row>
    <row r="25" spans="14:35" x14ac:dyDescent="0.25">
      <c r="N25" t="s">
        <v>39</v>
      </c>
      <c r="O25" s="1">
        <v>46145.416666666664</v>
      </c>
      <c r="P25" t="s">
        <v>22</v>
      </c>
      <c r="Q25" t="s">
        <v>23</v>
      </c>
      <c r="R25" t="s">
        <v>24</v>
      </c>
      <c r="S25">
        <v>178</v>
      </c>
      <c r="T25" t="s">
        <v>25</v>
      </c>
      <c r="U25">
        <v>150</v>
      </c>
      <c r="V25">
        <v>65</v>
      </c>
      <c r="W25">
        <v>1.8</v>
      </c>
      <c r="X25" t="s">
        <v>26</v>
      </c>
      <c r="Y25">
        <v>4.5</v>
      </c>
      <c r="Z25">
        <v>0.05</v>
      </c>
      <c r="AA25">
        <v>0.02</v>
      </c>
      <c r="AB25">
        <v>26700</v>
      </c>
      <c r="AC25">
        <v>26166</v>
      </c>
      <c r="AD25">
        <v>320.40000000000003</v>
      </c>
      <c r="AE25">
        <v>1308.3000000000002</v>
      </c>
      <c r="AF25">
        <v>1308</v>
      </c>
      <c r="AG25">
        <v>11570</v>
      </c>
      <c r="AH25">
        <v>11979.7</v>
      </c>
      <c r="AI25" s="5">
        <v>0.45783459451196201</v>
      </c>
    </row>
    <row r="26" spans="14:35" x14ac:dyDescent="0.25">
      <c r="N26" t="s">
        <v>40</v>
      </c>
      <c r="O26" s="1">
        <v>46145.625</v>
      </c>
      <c r="P26" t="s">
        <v>22</v>
      </c>
      <c r="Q26" t="s">
        <v>23</v>
      </c>
      <c r="R26" t="s">
        <v>24</v>
      </c>
      <c r="S26">
        <v>92</v>
      </c>
      <c r="T26" t="s">
        <v>25</v>
      </c>
      <c r="U26">
        <v>150</v>
      </c>
      <c r="V26">
        <v>65</v>
      </c>
      <c r="W26">
        <v>1.8</v>
      </c>
      <c r="X26" t="s">
        <v>26</v>
      </c>
      <c r="Y26">
        <v>4.5</v>
      </c>
      <c r="Z26">
        <v>0.05</v>
      </c>
      <c r="AA26">
        <v>0.02</v>
      </c>
      <c r="AB26">
        <v>13800</v>
      </c>
      <c r="AC26">
        <v>13524</v>
      </c>
      <c r="AD26">
        <v>165.6</v>
      </c>
      <c r="AE26">
        <v>676.2</v>
      </c>
      <c r="AF26">
        <v>676</v>
      </c>
      <c r="AG26">
        <v>5980</v>
      </c>
      <c r="AH26">
        <v>6191.8</v>
      </c>
      <c r="AI26" s="5">
        <v>0.45783791777580601</v>
      </c>
    </row>
    <row r="27" spans="14:35" x14ac:dyDescent="0.25">
      <c r="N27" t="s">
        <v>41</v>
      </c>
      <c r="O27" s="1">
        <v>46145.75</v>
      </c>
      <c r="P27" t="s">
        <v>22</v>
      </c>
      <c r="Q27" t="s">
        <v>23</v>
      </c>
      <c r="R27" t="s">
        <v>24</v>
      </c>
      <c r="S27">
        <v>70</v>
      </c>
      <c r="T27" t="s">
        <v>25</v>
      </c>
      <c r="U27">
        <v>150</v>
      </c>
      <c r="V27">
        <v>65</v>
      </c>
      <c r="W27">
        <v>1.8</v>
      </c>
      <c r="X27" t="s">
        <v>26</v>
      </c>
      <c r="Y27">
        <v>4.5</v>
      </c>
      <c r="Z27">
        <v>0.05</v>
      </c>
      <c r="AA27">
        <v>0.02</v>
      </c>
      <c r="AB27">
        <v>10500</v>
      </c>
      <c r="AC27">
        <v>10290</v>
      </c>
      <c r="AD27">
        <v>126</v>
      </c>
      <c r="AE27">
        <v>514.5</v>
      </c>
      <c r="AF27">
        <v>514</v>
      </c>
      <c r="AG27">
        <v>4550</v>
      </c>
      <c r="AH27">
        <v>4711.5</v>
      </c>
      <c r="AI27" s="5">
        <v>0.45787172011661798</v>
      </c>
    </row>
    <row r="28" spans="14:35" x14ac:dyDescent="0.25">
      <c r="N28" t="s">
        <v>42</v>
      </c>
      <c r="O28" s="1">
        <v>46146.166666666664</v>
      </c>
      <c r="P28" t="s">
        <v>22</v>
      </c>
      <c r="Q28" t="s">
        <v>23</v>
      </c>
      <c r="R28" t="s">
        <v>32</v>
      </c>
      <c r="S28">
        <v>50</v>
      </c>
      <c r="T28" t="s">
        <v>25</v>
      </c>
      <c r="U28">
        <v>150</v>
      </c>
      <c r="V28">
        <v>65</v>
      </c>
      <c r="W28">
        <v>1.8</v>
      </c>
      <c r="X28" t="s">
        <v>26</v>
      </c>
      <c r="Y28">
        <v>4.5</v>
      </c>
      <c r="Z28">
        <v>0.05</v>
      </c>
      <c r="AA28">
        <v>0.05</v>
      </c>
      <c r="AB28">
        <v>7500</v>
      </c>
      <c r="AC28">
        <v>7125</v>
      </c>
      <c r="AD28">
        <v>90</v>
      </c>
      <c r="AE28">
        <v>356.25</v>
      </c>
      <c r="AF28">
        <v>356</v>
      </c>
      <c r="AG28">
        <v>3250</v>
      </c>
      <c r="AH28">
        <v>3162.75</v>
      </c>
      <c r="AI28" s="5">
        <v>0.44389473684210501</v>
      </c>
    </row>
    <row r="29" spans="14:35" x14ac:dyDescent="0.25">
      <c r="N29" t="s">
        <v>43</v>
      </c>
      <c r="O29" s="1">
        <v>46146.708333333336</v>
      </c>
      <c r="P29" t="s">
        <v>22</v>
      </c>
      <c r="Q29" t="s">
        <v>23</v>
      </c>
      <c r="R29" t="s">
        <v>29</v>
      </c>
      <c r="S29">
        <v>109</v>
      </c>
      <c r="T29" t="s">
        <v>25</v>
      </c>
      <c r="U29">
        <v>150</v>
      </c>
      <c r="V29">
        <v>65</v>
      </c>
      <c r="W29">
        <v>1.8</v>
      </c>
      <c r="X29" t="s">
        <v>26</v>
      </c>
      <c r="Y29">
        <v>4.5</v>
      </c>
      <c r="Z29">
        <v>0.05</v>
      </c>
      <c r="AA29">
        <v>0.1</v>
      </c>
      <c r="AB29">
        <v>16350</v>
      </c>
      <c r="AC29">
        <v>14715</v>
      </c>
      <c r="AD29">
        <v>196.20000000000002</v>
      </c>
      <c r="AE29">
        <v>735.75</v>
      </c>
      <c r="AF29">
        <v>736</v>
      </c>
      <c r="AG29">
        <v>7085</v>
      </c>
      <c r="AH29">
        <v>6158.25</v>
      </c>
      <c r="AI29" s="5">
        <v>0.41850152905198801</v>
      </c>
    </row>
    <row r="30" spans="14:35" x14ac:dyDescent="0.25">
      <c r="N30" t="s">
        <v>44</v>
      </c>
      <c r="O30" s="1">
        <v>46147.5</v>
      </c>
      <c r="P30" t="s">
        <v>22</v>
      </c>
      <c r="Q30" t="s">
        <v>23</v>
      </c>
      <c r="R30" t="s">
        <v>24</v>
      </c>
      <c r="S30">
        <v>75</v>
      </c>
      <c r="T30" t="s">
        <v>25</v>
      </c>
      <c r="U30">
        <v>150</v>
      </c>
      <c r="V30">
        <v>65</v>
      </c>
      <c r="W30">
        <v>1.8</v>
      </c>
      <c r="X30" t="s">
        <v>26</v>
      </c>
      <c r="Y30">
        <v>4.5</v>
      </c>
      <c r="Z30">
        <v>0.05</v>
      </c>
      <c r="AA30">
        <v>0.02</v>
      </c>
      <c r="AB30">
        <v>11250</v>
      </c>
      <c r="AC30">
        <v>11025</v>
      </c>
      <c r="AD30">
        <v>135</v>
      </c>
      <c r="AE30">
        <v>551.25</v>
      </c>
      <c r="AF30">
        <v>551</v>
      </c>
      <c r="AG30">
        <v>4875</v>
      </c>
      <c r="AH30">
        <v>5047.75</v>
      </c>
      <c r="AI30" s="5">
        <v>0.45784580498866201</v>
      </c>
    </row>
    <row r="31" spans="14:35" x14ac:dyDescent="0.25">
      <c r="N31" t="s">
        <v>45</v>
      </c>
      <c r="O31" s="1">
        <v>46147.916666666664</v>
      </c>
      <c r="P31" t="s">
        <v>22</v>
      </c>
      <c r="Q31" t="s">
        <v>23</v>
      </c>
      <c r="R31" t="s">
        <v>24</v>
      </c>
      <c r="S31">
        <v>114</v>
      </c>
      <c r="T31" t="s">
        <v>25</v>
      </c>
      <c r="U31">
        <v>150</v>
      </c>
      <c r="V31">
        <v>65</v>
      </c>
      <c r="W31">
        <v>1.8</v>
      </c>
      <c r="X31" t="s">
        <v>26</v>
      </c>
      <c r="Y31">
        <v>4.5</v>
      </c>
      <c r="Z31">
        <v>0.05</v>
      </c>
      <c r="AA31">
        <v>0.02</v>
      </c>
      <c r="AB31">
        <v>17100</v>
      </c>
      <c r="AC31">
        <v>16758</v>
      </c>
      <c r="AD31">
        <v>205.20000000000002</v>
      </c>
      <c r="AE31">
        <v>837.90000000000009</v>
      </c>
      <c r="AF31">
        <v>838</v>
      </c>
      <c r="AG31">
        <v>7410</v>
      </c>
      <c r="AH31">
        <v>7672.1</v>
      </c>
      <c r="AI31" s="5">
        <v>0.4578171619525</v>
      </c>
    </row>
    <row r="32" spans="14:35" x14ac:dyDescent="0.25">
      <c r="N32" t="s">
        <v>46</v>
      </c>
      <c r="O32" s="1">
        <v>46147.958333333336</v>
      </c>
      <c r="P32" t="s">
        <v>22</v>
      </c>
      <c r="Q32" t="s">
        <v>23</v>
      </c>
      <c r="R32" t="s">
        <v>32</v>
      </c>
      <c r="S32">
        <v>107</v>
      </c>
      <c r="T32" t="s">
        <v>25</v>
      </c>
      <c r="U32">
        <v>150</v>
      </c>
      <c r="V32">
        <v>65</v>
      </c>
      <c r="W32">
        <v>1.8</v>
      </c>
      <c r="X32" t="s">
        <v>26</v>
      </c>
      <c r="Y32">
        <v>4.5</v>
      </c>
      <c r="Z32">
        <v>0.05</v>
      </c>
      <c r="AA32">
        <v>0.05</v>
      </c>
      <c r="AB32">
        <v>16050</v>
      </c>
      <c r="AC32">
        <v>15248</v>
      </c>
      <c r="AD32">
        <v>192.6</v>
      </c>
      <c r="AE32">
        <v>762.40000000000009</v>
      </c>
      <c r="AF32">
        <v>762</v>
      </c>
      <c r="AG32">
        <v>6955</v>
      </c>
      <c r="AH32">
        <v>6768.6</v>
      </c>
      <c r="AI32" s="5">
        <v>0.44390083945435499</v>
      </c>
    </row>
    <row r="33" spans="14:35" x14ac:dyDescent="0.25">
      <c r="N33" t="s">
        <v>47</v>
      </c>
      <c r="O33" s="1">
        <v>46148.083333333336</v>
      </c>
      <c r="P33" t="s">
        <v>22</v>
      </c>
      <c r="Q33" t="s">
        <v>23</v>
      </c>
      <c r="R33" t="s">
        <v>24</v>
      </c>
      <c r="S33">
        <v>113</v>
      </c>
      <c r="T33" t="s">
        <v>25</v>
      </c>
      <c r="U33">
        <v>150</v>
      </c>
      <c r="V33">
        <v>65</v>
      </c>
      <c r="W33">
        <v>1.8</v>
      </c>
      <c r="X33" t="s">
        <v>26</v>
      </c>
      <c r="Y33">
        <v>4.5</v>
      </c>
      <c r="Z33">
        <v>0.05</v>
      </c>
      <c r="AA33">
        <v>0.02</v>
      </c>
      <c r="AB33">
        <v>16950</v>
      </c>
      <c r="AC33">
        <v>16611</v>
      </c>
      <c r="AD33">
        <v>203.4</v>
      </c>
      <c r="AE33">
        <v>830.55000000000007</v>
      </c>
      <c r="AF33">
        <v>831</v>
      </c>
      <c r="AG33">
        <v>7345</v>
      </c>
      <c r="AH33">
        <v>7604.4500000000007</v>
      </c>
      <c r="AI33" s="5">
        <v>0.45779603876948999</v>
      </c>
    </row>
    <row r="34" spans="14:35" x14ac:dyDescent="0.25">
      <c r="N34" t="s">
        <v>48</v>
      </c>
      <c r="O34" s="1">
        <v>46148.375</v>
      </c>
      <c r="P34" t="s">
        <v>22</v>
      </c>
      <c r="Q34" t="s">
        <v>23</v>
      </c>
      <c r="R34" t="s">
        <v>32</v>
      </c>
      <c r="S34">
        <v>68</v>
      </c>
      <c r="T34" t="s">
        <v>25</v>
      </c>
      <c r="U34">
        <v>150</v>
      </c>
      <c r="V34">
        <v>65</v>
      </c>
      <c r="W34">
        <v>1.8</v>
      </c>
      <c r="X34" t="s">
        <v>26</v>
      </c>
      <c r="Y34">
        <v>4.5</v>
      </c>
      <c r="Z34">
        <v>0.05</v>
      </c>
      <c r="AA34">
        <v>0.05</v>
      </c>
      <c r="AB34">
        <v>10200</v>
      </c>
      <c r="AC34">
        <v>9690</v>
      </c>
      <c r="AD34">
        <v>122.4</v>
      </c>
      <c r="AE34">
        <v>484.5</v>
      </c>
      <c r="AF34">
        <v>484</v>
      </c>
      <c r="AG34">
        <v>4420</v>
      </c>
      <c r="AH34">
        <v>4301.5</v>
      </c>
      <c r="AI34" s="5">
        <v>0.44391124871000998</v>
      </c>
    </row>
    <row r="35" spans="14:35" x14ac:dyDescent="0.25">
      <c r="N35" t="s">
        <v>49</v>
      </c>
      <c r="O35" s="1">
        <v>46148.666666666664</v>
      </c>
      <c r="P35" t="s">
        <v>22</v>
      </c>
      <c r="Q35" t="s">
        <v>23</v>
      </c>
      <c r="R35" t="s">
        <v>29</v>
      </c>
      <c r="S35">
        <v>114</v>
      </c>
      <c r="T35" t="s">
        <v>25</v>
      </c>
      <c r="U35">
        <v>150</v>
      </c>
      <c r="V35">
        <v>65</v>
      </c>
      <c r="W35">
        <v>1.8</v>
      </c>
      <c r="X35" t="s">
        <v>26</v>
      </c>
      <c r="Y35">
        <v>4.5</v>
      </c>
      <c r="Z35">
        <v>0.05</v>
      </c>
      <c r="AA35">
        <v>0.1</v>
      </c>
      <c r="AB35">
        <v>17100</v>
      </c>
      <c r="AC35">
        <v>15390</v>
      </c>
      <c r="AD35">
        <v>205.20000000000002</v>
      </c>
      <c r="AE35">
        <v>769.5</v>
      </c>
      <c r="AF35">
        <v>770</v>
      </c>
      <c r="AG35">
        <v>7410</v>
      </c>
      <c r="AH35">
        <v>6440.5</v>
      </c>
      <c r="AI35" s="5">
        <v>0.41848602988953898</v>
      </c>
    </row>
    <row r="36" spans="14:35" x14ac:dyDescent="0.25">
      <c r="N36" t="s">
        <v>50</v>
      </c>
      <c r="O36" s="1">
        <v>46148.75</v>
      </c>
      <c r="P36" t="s">
        <v>22</v>
      </c>
      <c r="Q36" t="s">
        <v>23</v>
      </c>
      <c r="R36" t="s">
        <v>24</v>
      </c>
      <c r="S36">
        <v>99</v>
      </c>
      <c r="T36" t="s">
        <v>25</v>
      </c>
      <c r="U36">
        <v>150</v>
      </c>
      <c r="V36">
        <v>65</v>
      </c>
      <c r="W36">
        <v>1.8</v>
      </c>
      <c r="X36" t="s">
        <v>26</v>
      </c>
      <c r="Y36">
        <v>4.5</v>
      </c>
      <c r="Z36">
        <v>0.05</v>
      </c>
      <c r="AA36">
        <v>0.02</v>
      </c>
      <c r="AB36">
        <v>14850</v>
      </c>
      <c r="AC36">
        <v>14553</v>
      </c>
      <c r="AD36">
        <v>178.20000000000002</v>
      </c>
      <c r="AE36">
        <v>727.65000000000009</v>
      </c>
      <c r="AF36">
        <v>728</v>
      </c>
      <c r="AG36">
        <v>6435</v>
      </c>
      <c r="AH36">
        <v>6662.35</v>
      </c>
      <c r="AI36" s="5">
        <v>0.45779907922765101</v>
      </c>
    </row>
    <row r="37" spans="14:35" x14ac:dyDescent="0.25">
      <c r="N37" t="s">
        <v>51</v>
      </c>
      <c r="O37" s="1">
        <v>46148.958333333336</v>
      </c>
      <c r="P37" t="s">
        <v>22</v>
      </c>
      <c r="Q37" t="s">
        <v>23</v>
      </c>
      <c r="R37" t="s">
        <v>24</v>
      </c>
      <c r="S37">
        <v>23</v>
      </c>
      <c r="T37" t="s">
        <v>25</v>
      </c>
      <c r="U37">
        <v>150</v>
      </c>
      <c r="V37">
        <v>65</v>
      </c>
      <c r="W37">
        <v>1.8</v>
      </c>
      <c r="X37" t="s">
        <v>26</v>
      </c>
      <c r="Y37">
        <v>4.5</v>
      </c>
      <c r="Z37">
        <v>0.05</v>
      </c>
      <c r="AA37">
        <v>0.02</v>
      </c>
      <c r="AB37">
        <v>3450</v>
      </c>
      <c r="AC37">
        <v>3381</v>
      </c>
      <c r="AD37">
        <v>41.4</v>
      </c>
      <c r="AE37">
        <v>169.05</v>
      </c>
      <c r="AF37">
        <v>169</v>
      </c>
      <c r="AG37">
        <v>1495</v>
      </c>
      <c r="AH37">
        <v>1547.95</v>
      </c>
      <c r="AI37" s="5">
        <v>0.45783791777580601</v>
      </c>
    </row>
    <row r="38" spans="14:35" x14ac:dyDescent="0.25">
      <c r="N38" t="s">
        <v>52</v>
      </c>
      <c r="O38" s="1">
        <v>46149</v>
      </c>
      <c r="P38" t="s">
        <v>22</v>
      </c>
      <c r="Q38" t="s">
        <v>23</v>
      </c>
      <c r="R38" t="s">
        <v>32</v>
      </c>
      <c r="S38">
        <v>196</v>
      </c>
      <c r="T38" t="s">
        <v>25</v>
      </c>
      <c r="U38">
        <v>150</v>
      </c>
      <c r="V38">
        <v>65</v>
      </c>
      <c r="W38">
        <v>1.8</v>
      </c>
      <c r="X38" t="s">
        <v>26</v>
      </c>
      <c r="Y38">
        <v>4.5</v>
      </c>
      <c r="Z38">
        <v>0.05</v>
      </c>
      <c r="AA38">
        <v>0.05</v>
      </c>
      <c r="AB38">
        <v>29400</v>
      </c>
      <c r="AC38">
        <v>27930</v>
      </c>
      <c r="AD38">
        <v>352.8</v>
      </c>
      <c r="AE38">
        <v>1396.5</v>
      </c>
      <c r="AF38">
        <v>1396</v>
      </c>
      <c r="AG38">
        <v>12740</v>
      </c>
      <c r="AH38">
        <v>12397.5</v>
      </c>
      <c r="AI38" s="5">
        <v>0.44387755102040799</v>
      </c>
    </row>
    <row r="39" spans="14:35" x14ac:dyDescent="0.25">
      <c r="N39" t="s">
        <v>53</v>
      </c>
      <c r="O39" s="1">
        <v>46149.458333333336</v>
      </c>
      <c r="P39" t="s">
        <v>22</v>
      </c>
      <c r="Q39" t="s">
        <v>23</v>
      </c>
      <c r="R39" t="s">
        <v>24</v>
      </c>
      <c r="S39">
        <v>103</v>
      </c>
      <c r="T39" t="s">
        <v>25</v>
      </c>
      <c r="U39">
        <v>150</v>
      </c>
      <c r="V39">
        <v>65</v>
      </c>
      <c r="W39">
        <v>1.8</v>
      </c>
      <c r="X39" t="s">
        <v>26</v>
      </c>
      <c r="Y39">
        <v>4.5</v>
      </c>
      <c r="Z39">
        <v>0.05</v>
      </c>
      <c r="AA39">
        <v>0.02</v>
      </c>
      <c r="AB39">
        <v>15450</v>
      </c>
      <c r="AC39">
        <v>15141</v>
      </c>
      <c r="AD39">
        <v>185.4</v>
      </c>
      <c r="AE39">
        <v>757.05000000000007</v>
      </c>
      <c r="AF39">
        <v>757</v>
      </c>
      <c r="AG39">
        <v>6695</v>
      </c>
      <c r="AH39">
        <v>6931.9500000000007</v>
      </c>
      <c r="AI39" s="5">
        <v>0.45782643154349101</v>
      </c>
    </row>
    <row r="40" spans="14:35" x14ac:dyDescent="0.25">
      <c r="N40" t="s">
        <v>54</v>
      </c>
      <c r="O40" s="1">
        <v>46149.708333333336</v>
      </c>
      <c r="P40" t="s">
        <v>22</v>
      </c>
      <c r="Q40" t="s">
        <v>23</v>
      </c>
      <c r="R40" t="s">
        <v>24</v>
      </c>
      <c r="S40">
        <v>30</v>
      </c>
      <c r="T40" t="s">
        <v>25</v>
      </c>
      <c r="U40">
        <v>150</v>
      </c>
      <c r="V40">
        <v>65</v>
      </c>
      <c r="W40">
        <v>1.8</v>
      </c>
      <c r="X40" t="s">
        <v>26</v>
      </c>
      <c r="Y40">
        <v>4.5</v>
      </c>
      <c r="Z40">
        <v>0.05</v>
      </c>
      <c r="AA40">
        <v>0.02</v>
      </c>
      <c r="AB40">
        <v>4500</v>
      </c>
      <c r="AC40">
        <v>4410</v>
      </c>
      <c r="AD40">
        <v>54</v>
      </c>
      <c r="AE40">
        <v>220.5</v>
      </c>
      <c r="AF40">
        <v>220</v>
      </c>
      <c r="AG40">
        <v>1950</v>
      </c>
      <c r="AH40">
        <v>2019.5</v>
      </c>
      <c r="AI40" s="5">
        <v>0.45793650793650797</v>
      </c>
    </row>
    <row r="41" spans="14:35" x14ac:dyDescent="0.25">
      <c r="N41" t="s">
        <v>55</v>
      </c>
      <c r="O41" s="1">
        <v>46150.25</v>
      </c>
      <c r="P41" t="s">
        <v>22</v>
      </c>
      <c r="Q41" t="s">
        <v>23</v>
      </c>
      <c r="R41" t="s">
        <v>24</v>
      </c>
      <c r="S41">
        <v>192</v>
      </c>
      <c r="T41" t="s">
        <v>25</v>
      </c>
      <c r="U41">
        <v>150</v>
      </c>
      <c r="V41">
        <v>65</v>
      </c>
      <c r="W41">
        <v>1.8</v>
      </c>
      <c r="X41" t="s">
        <v>26</v>
      </c>
      <c r="Y41">
        <v>4.5</v>
      </c>
      <c r="Z41">
        <v>0.05</v>
      </c>
      <c r="AA41">
        <v>0.02</v>
      </c>
      <c r="AB41">
        <v>28800</v>
      </c>
      <c r="AC41">
        <v>28224</v>
      </c>
      <c r="AD41">
        <v>345.6</v>
      </c>
      <c r="AE41">
        <v>1411.2</v>
      </c>
      <c r="AF41">
        <v>1411</v>
      </c>
      <c r="AG41">
        <v>12480</v>
      </c>
      <c r="AH41">
        <v>12921.8</v>
      </c>
      <c r="AI41" s="5">
        <v>0.45783021541950097</v>
      </c>
    </row>
    <row r="42" spans="14:35" x14ac:dyDescent="0.25">
      <c r="N42" t="s">
        <v>56</v>
      </c>
      <c r="O42" s="1">
        <v>46150.333333333336</v>
      </c>
      <c r="P42" t="s">
        <v>22</v>
      </c>
      <c r="Q42" t="s">
        <v>23</v>
      </c>
      <c r="R42" t="s">
        <v>29</v>
      </c>
      <c r="S42">
        <v>79</v>
      </c>
      <c r="T42" t="s">
        <v>25</v>
      </c>
      <c r="U42">
        <v>150</v>
      </c>
      <c r="V42">
        <v>65</v>
      </c>
      <c r="W42">
        <v>1.8</v>
      </c>
      <c r="X42" t="s">
        <v>26</v>
      </c>
      <c r="Y42">
        <v>4.5</v>
      </c>
      <c r="Z42">
        <v>0.05</v>
      </c>
      <c r="AA42">
        <v>0.1</v>
      </c>
      <c r="AB42">
        <v>11850</v>
      </c>
      <c r="AC42">
        <v>10665</v>
      </c>
      <c r="AD42">
        <v>142.20000000000002</v>
      </c>
      <c r="AE42">
        <v>533.25</v>
      </c>
      <c r="AF42">
        <v>533</v>
      </c>
      <c r="AG42">
        <v>5135</v>
      </c>
      <c r="AH42">
        <v>4463.75</v>
      </c>
      <c r="AI42" s="5">
        <v>0.4185419596812</v>
      </c>
    </row>
    <row r="43" spans="14:35" x14ac:dyDescent="0.25">
      <c r="N43" t="s">
        <v>57</v>
      </c>
      <c r="O43" s="1">
        <v>46150.583333333336</v>
      </c>
      <c r="P43" t="s">
        <v>22</v>
      </c>
      <c r="Q43" t="s">
        <v>23</v>
      </c>
      <c r="R43" t="s">
        <v>32</v>
      </c>
      <c r="S43">
        <v>89</v>
      </c>
      <c r="T43" t="s">
        <v>25</v>
      </c>
      <c r="U43">
        <v>150</v>
      </c>
      <c r="V43">
        <v>65</v>
      </c>
      <c r="W43">
        <v>1.8</v>
      </c>
      <c r="X43" t="s">
        <v>26</v>
      </c>
      <c r="Y43">
        <v>4.5</v>
      </c>
      <c r="Z43">
        <v>0.05</v>
      </c>
      <c r="AA43">
        <v>0.05</v>
      </c>
      <c r="AB43">
        <v>13350</v>
      </c>
      <c r="AC43">
        <v>12682</v>
      </c>
      <c r="AD43">
        <v>160.20000000000002</v>
      </c>
      <c r="AE43">
        <v>634.1</v>
      </c>
      <c r="AF43">
        <v>634</v>
      </c>
      <c r="AG43">
        <v>5785</v>
      </c>
      <c r="AH43">
        <v>5628.9</v>
      </c>
      <c r="AI43" s="5">
        <v>0.44384955054407799</v>
      </c>
    </row>
    <row r="44" spans="14:35" x14ac:dyDescent="0.25">
      <c r="N44" t="s">
        <v>58</v>
      </c>
      <c r="O44" s="1">
        <v>46150.666666666664</v>
      </c>
      <c r="P44" t="s">
        <v>22</v>
      </c>
      <c r="Q44" t="s">
        <v>23</v>
      </c>
      <c r="R44" t="s">
        <v>32</v>
      </c>
      <c r="S44">
        <v>183</v>
      </c>
      <c r="T44" t="s">
        <v>25</v>
      </c>
      <c r="U44">
        <v>150</v>
      </c>
      <c r="V44">
        <v>65</v>
      </c>
      <c r="W44">
        <v>1.8</v>
      </c>
      <c r="X44" t="s">
        <v>26</v>
      </c>
      <c r="Y44">
        <v>4.5</v>
      </c>
      <c r="Z44">
        <v>0.05</v>
      </c>
      <c r="AA44">
        <v>0.05</v>
      </c>
      <c r="AB44">
        <v>27450</v>
      </c>
      <c r="AC44">
        <v>26078</v>
      </c>
      <c r="AD44">
        <v>329.40000000000003</v>
      </c>
      <c r="AE44">
        <v>1303.9000000000001</v>
      </c>
      <c r="AF44">
        <v>1304</v>
      </c>
      <c r="AG44">
        <v>11895</v>
      </c>
      <c r="AH44">
        <v>11575.1</v>
      </c>
      <c r="AI44" s="5">
        <v>0.44386456016565701</v>
      </c>
    </row>
    <row r="45" spans="14:35" x14ac:dyDescent="0.25">
      <c r="N45" t="s">
        <v>59</v>
      </c>
      <c r="O45" s="1">
        <v>46150.708333333336</v>
      </c>
      <c r="P45" t="s">
        <v>22</v>
      </c>
      <c r="Q45" t="s">
        <v>23</v>
      </c>
      <c r="R45" t="s">
        <v>29</v>
      </c>
      <c r="S45">
        <v>55</v>
      </c>
      <c r="T45" t="s">
        <v>25</v>
      </c>
      <c r="U45">
        <v>150</v>
      </c>
      <c r="V45">
        <v>65</v>
      </c>
      <c r="W45">
        <v>1.8</v>
      </c>
      <c r="X45" t="s">
        <v>26</v>
      </c>
      <c r="Y45">
        <v>4.5</v>
      </c>
      <c r="Z45">
        <v>0.05</v>
      </c>
      <c r="AA45">
        <v>0.1</v>
      </c>
      <c r="AB45">
        <v>8250</v>
      </c>
      <c r="AC45">
        <v>7425</v>
      </c>
      <c r="AD45">
        <v>99</v>
      </c>
      <c r="AE45">
        <v>371.25</v>
      </c>
      <c r="AF45">
        <v>371</v>
      </c>
      <c r="AG45">
        <v>3575</v>
      </c>
      <c r="AH45">
        <v>3107.75</v>
      </c>
      <c r="AI45" s="5">
        <v>0.41855218855218901</v>
      </c>
    </row>
    <row r="46" spans="14:35" x14ac:dyDescent="0.25">
      <c r="N46" t="s">
        <v>60</v>
      </c>
      <c r="O46" s="1">
        <v>46150.833333333336</v>
      </c>
      <c r="P46" t="s">
        <v>22</v>
      </c>
      <c r="Q46" t="s">
        <v>23</v>
      </c>
      <c r="R46" t="s">
        <v>24</v>
      </c>
      <c r="S46">
        <v>149</v>
      </c>
      <c r="T46" t="s">
        <v>25</v>
      </c>
      <c r="U46">
        <v>150</v>
      </c>
      <c r="V46">
        <v>65</v>
      </c>
      <c r="W46">
        <v>1.8</v>
      </c>
      <c r="X46" t="s">
        <v>26</v>
      </c>
      <c r="Y46">
        <v>4.5</v>
      </c>
      <c r="Z46">
        <v>0.05</v>
      </c>
      <c r="AA46">
        <v>0.02</v>
      </c>
      <c r="AB46">
        <v>22350</v>
      </c>
      <c r="AC46">
        <v>21903</v>
      </c>
      <c r="AD46">
        <v>268.2</v>
      </c>
      <c r="AE46">
        <v>1095.1500000000001</v>
      </c>
      <c r="AF46">
        <v>1095</v>
      </c>
      <c r="AG46">
        <v>9685</v>
      </c>
      <c r="AH46">
        <v>10027.85</v>
      </c>
      <c r="AI46" s="5">
        <v>0.45782997762863498</v>
      </c>
    </row>
    <row r="47" spans="14:35" x14ac:dyDescent="0.25">
      <c r="N47" t="s">
        <v>61</v>
      </c>
      <c r="O47" s="1">
        <v>46151.041666666664</v>
      </c>
      <c r="P47" t="s">
        <v>22</v>
      </c>
      <c r="Q47" t="s">
        <v>23</v>
      </c>
      <c r="R47" t="s">
        <v>29</v>
      </c>
      <c r="S47">
        <v>18</v>
      </c>
      <c r="T47" t="s">
        <v>25</v>
      </c>
      <c r="U47">
        <v>150</v>
      </c>
      <c r="V47">
        <v>65</v>
      </c>
      <c r="W47">
        <v>1.8</v>
      </c>
      <c r="X47" t="s">
        <v>26</v>
      </c>
      <c r="Y47">
        <v>4.5</v>
      </c>
      <c r="Z47">
        <v>0.05</v>
      </c>
      <c r="AA47">
        <v>0.1</v>
      </c>
      <c r="AB47">
        <v>2700</v>
      </c>
      <c r="AC47">
        <v>2430</v>
      </c>
      <c r="AD47">
        <v>32.4</v>
      </c>
      <c r="AE47">
        <v>121.5</v>
      </c>
      <c r="AF47">
        <v>122</v>
      </c>
      <c r="AG47">
        <v>1170</v>
      </c>
      <c r="AH47">
        <v>1016.5</v>
      </c>
      <c r="AI47" s="5">
        <v>0.41831275720164601</v>
      </c>
    </row>
    <row r="48" spans="14:35" x14ac:dyDescent="0.25">
      <c r="N48" t="s">
        <v>62</v>
      </c>
      <c r="O48" s="1">
        <v>46151.166666666664</v>
      </c>
      <c r="P48" t="s">
        <v>22</v>
      </c>
      <c r="Q48" t="s">
        <v>23</v>
      </c>
      <c r="R48" t="s">
        <v>29</v>
      </c>
      <c r="S48">
        <v>179</v>
      </c>
      <c r="T48" t="s">
        <v>25</v>
      </c>
      <c r="U48">
        <v>150</v>
      </c>
      <c r="V48">
        <v>65</v>
      </c>
      <c r="W48">
        <v>1.8</v>
      </c>
      <c r="X48" t="s">
        <v>26</v>
      </c>
      <c r="Y48">
        <v>4.5</v>
      </c>
      <c r="Z48">
        <v>0.05</v>
      </c>
      <c r="AA48">
        <v>0.1</v>
      </c>
      <c r="AB48">
        <v>26850</v>
      </c>
      <c r="AC48">
        <v>24165</v>
      </c>
      <c r="AD48">
        <v>322.2</v>
      </c>
      <c r="AE48">
        <v>1208.25</v>
      </c>
      <c r="AF48">
        <v>1208</v>
      </c>
      <c r="AG48">
        <v>11635</v>
      </c>
      <c r="AH48">
        <v>10113.75</v>
      </c>
      <c r="AI48" s="5">
        <v>0.41852886405959</v>
      </c>
    </row>
    <row r="49" spans="14:35" x14ac:dyDescent="0.25">
      <c r="N49" t="s">
        <v>63</v>
      </c>
      <c r="O49" s="1">
        <v>46151.583333333336</v>
      </c>
      <c r="P49" t="s">
        <v>22</v>
      </c>
      <c r="Q49" t="s">
        <v>23</v>
      </c>
      <c r="R49" t="s">
        <v>24</v>
      </c>
      <c r="S49">
        <v>27</v>
      </c>
      <c r="T49" t="s">
        <v>25</v>
      </c>
      <c r="U49">
        <v>150</v>
      </c>
      <c r="V49">
        <v>65</v>
      </c>
      <c r="W49">
        <v>1.8</v>
      </c>
      <c r="X49" t="s">
        <v>26</v>
      </c>
      <c r="Y49">
        <v>4.5</v>
      </c>
      <c r="Z49">
        <v>0.05</v>
      </c>
      <c r="AA49">
        <v>0.02</v>
      </c>
      <c r="AB49">
        <v>4050</v>
      </c>
      <c r="AC49">
        <v>3969</v>
      </c>
      <c r="AD49">
        <v>48.6</v>
      </c>
      <c r="AE49">
        <v>198.45000000000002</v>
      </c>
      <c r="AF49">
        <v>198</v>
      </c>
      <c r="AG49">
        <v>1755</v>
      </c>
      <c r="AH49">
        <v>1817.5500000000002</v>
      </c>
      <c r="AI49" s="5">
        <v>0.45793650793650797</v>
      </c>
    </row>
    <row r="50" spans="14:35" x14ac:dyDescent="0.25">
      <c r="N50" t="s">
        <v>64</v>
      </c>
      <c r="O50" s="1">
        <v>46152.208333333336</v>
      </c>
      <c r="P50" t="s">
        <v>22</v>
      </c>
      <c r="Q50" t="s">
        <v>23</v>
      </c>
      <c r="R50" t="s">
        <v>32</v>
      </c>
      <c r="S50">
        <v>170</v>
      </c>
      <c r="T50" t="s">
        <v>25</v>
      </c>
      <c r="U50">
        <v>150</v>
      </c>
      <c r="V50">
        <v>65</v>
      </c>
      <c r="W50">
        <v>1.8</v>
      </c>
      <c r="X50" t="s">
        <v>26</v>
      </c>
      <c r="Y50">
        <v>4.5</v>
      </c>
      <c r="Z50">
        <v>0.05</v>
      </c>
      <c r="AA50">
        <v>0.05</v>
      </c>
      <c r="AB50">
        <v>25500</v>
      </c>
      <c r="AC50">
        <v>24225</v>
      </c>
      <c r="AD50">
        <v>306</v>
      </c>
      <c r="AE50">
        <v>1211.25</v>
      </c>
      <c r="AF50">
        <v>1211</v>
      </c>
      <c r="AG50">
        <v>11050</v>
      </c>
      <c r="AH50">
        <v>10752.75</v>
      </c>
      <c r="AI50" s="5">
        <v>0.443869969040248</v>
      </c>
    </row>
    <row r="51" spans="14:35" x14ac:dyDescent="0.25">
      <c r="N51" t="s">
        <v>65</v>
      </c>
      <c r="O51" s="1">
        <v>46152.625</v>
      </c>
      <c r="P51" t="s">
        <v>22</v>
      </c>
      <c r="Q51" t="s">
        <v>23</v>
      </c>
      <c r="R51" t="s">
        <v>24</v>
      </c>
      <c r="S51">
        <v>43</v>
      </c>
      <c r="T51" t="s">
        <v>25</v>
      </c>
      <c r="U51">
        <v>150</v>
      </c>
      <c r="V51">
        <v>65</v>
      </c>
      <c r="W51">
        <v>1.8</v>
      </c>
      <c r="X51" t="s">
        <v>26</v>
      </c>
      <c r="Y51">
        <v>4.5</v>
      </c>
      <c r="Z51">
        <v>0.05</v>
      </c>
      <c r="AA51">
        <v>0.02</v>
      </c>
      <c r="AB51">
        <v>6450</v>
      </c>
      <c r="AC51">
        <v>6321</v>
      </c>
      <c r="AD51">
        <v>77.400000000000006</v>
      </c>
      <c r="AE51">
        <v>316.05</v>
      </c>
      <c r="AF51">
        <v>316</v>
      </c>
      <c r="AG51">
        <v>2795</v>
      </c>
      <c r="AH51">
        <v>2893.95</v>
      </c>
      <c r="AI51" s="5">
        <v>0.45783103939250103</v>
      </c>
    </row>
    <row r="52" spans="14:35" x14ac:dyDescent="0.25">
      <c r="N52" t="s">
        <v>66</v>
      </c>
      <c r="O52" s="1">
        <v>46152.75</v>
      </c>
      <c r="P52" t="s">
        <v>22</v>
      </c>
      <c r="Q52" t="s">
        <v>23</v>
      </c>
      <c r="R52" t="s">
        <v>29</v>
      </c>
      <c r="S52">
        <v>75</v>
      </c>
      <c r="T52" t="s">
        <v>25</v>
      </c>
      <c r="U52">
        <v>150</v>
      </c>
      <c r="V52">
        <v>65</v>
      </c>
      <c r="W52">
        <v>1.8</v>
      </c>
      <c r="X52" t="s">
        <v>26</v>
      </c>
      <c r="Y52">
        <v>4.5</v>
      </c>
      <c r="Z52">
        <v>0.05</v>
      </c>
      <c r="AA52">
        <v>0.1</v>
      </c>
      <c r="AB52">
        <v>11250</v>
      </c>
      <c r="AC52">
        <v>10125</v>
      </c>
      <c r="AD52">
        <v>135</v>
      </c>
      <c r="AE52">
        <v>506.25</v>
      </c>
      <c r="AF52">
        <v>506</v>
      </c>
      <c r="AG52">
        <v>4875</v>
      </c>
      <c r="AH52">
        <v>4237.75</v>
      </c>
      <c r="AI52" s="5">
        <v>0.41854320987654298</v>
      </c>
    </row>
    <row r="53" spans="14:35" x14ac:dyDescent="0.25">
      <c r="N53" t="s">
        <v>67</v>
      </c>
      <c r="O53" s="1">
        <v>46153.125</v>
      </c>
      <c r="P53" t="s">
        <v>22</v>
      </c>
      <c r="Q53" t="s">
        <v>23</v>
      </c>
      <c r="R53" t="s">
        <v>29</v>
      </c>
      <c r="S53">
        <v>135</v>
      </c>
      <c r="T53" t="s">
        <v>25</v>
      </c>
      <c r="U53">
        <v>150</v>
      </c>
      <c r="V53">
        <v>65</v>
      </c>
      <c r="W53">
        <v>1.8</v>
      </c>
      <c r="X53" t="s">
        <v>26</v>
      </c>
      <c r="Y53">
        <v>4.5</v>
      </c>
      <c r="Z53">
        <v>0.05</v>
      </c>
      <c r="AA53">
        <v>0.1</v>
      </c>
      <c r="AB53">
        <v>20250</v>
      </c>
      <c r="AC53">
        <v>18225</v>
      </c>
      <c r="AD53">
        <v>243</v>
      </c>
      <c r="AE53">
        <v>911.25</v>
      </c>
      <c r="AF53">
        <v>911</v>
      </c>
      <c r="AG53">
        <v>8775</v>
      </c>
      <c r="AH53">
        <v>7627.75</v>
      </c>
      <c r="AI53" s="5">
        <v>0.418532235939643</v>
      </c>
    </row>
    <row r="54" spans="14:35" x14ac:dyDescent="0.25">
      <c r="N54" t="s">
        <v>68</v>
      </c>
      <c r="O54" s="1">
        <v>46153.708333333336</v>
      </c>
      <c r="P54" t="s">
        <v>22</v>
      </c>
      <c r="Q54" t="s">
        <v>23</v>
      </c>
      <c r="R54" t="s">
        <v>24</v>
      </c>
      <c r="S54">
        <v>155</v>
      </c>
      <c r="T54" t="s">
        <v>25</v>
      </c>
      <c r="U54">
        <v>150</v>
      </c>
      <c r="V54">
        <v>65</v>
      </c>
      <c r="W54">
        <v>1.8</v>
      </c>
      <c r="X54" t="s">
        <v>26</v>
      </c>
      <c r="Y54">
        <v>4.5</v>
      </c>
      <c r="Z54">
        <v>0.05</v>
      </c>
      <c r="AA54">
        <v>0.02</v>
      </c>
      <c r="AB54">
        <v>23250</v>
      </c>
      <c r="AC54">
        <v>22785</v>
      </c>
      <c r="AD54">
        <v>279</v>
      </c>
      <c r="AE54">
        <v>1139.25</v>
      </c>
      <c r="AF54">
        <v>1139</v>
      </c>
      <c r="AG54">
        <v>10075</v>
      </c>
      <c r="AH54">
        <v>10431.75</v>
      </c>
      <c r="AI54" s="5">
        <v>0.45783410138248798</v>
      </c>
    </row>
    <row r="55" spans="14:35" x14ac:dyDescent="0.25">
      <c r="N55" t="s">
        <v>69</v>
      </c>
      <c r="O55" s="1">
        <v>46154.083333333336</v>
      </c>
      <c r="P55" t="s">
        <v>22</v>
      </c>
      <c r="Q55" t="s">
        <v>23</v>
      </c>
      <c r="R55" t="s">
        <v>29</v>
      </c>
      <c r="S55">
        <v>45</v>
      </c>
      <c r="T55" t="s">
        <v>25</v>
      </c>
      <c r="U55">
        <v>150</v>
      </c>
      <c r="V55">
        <v>65</v>
      </c>
      <c r="W55">
        <v>1.8</v>
      </c>
      <c r="X55" t="s">
        <v>26</v>
      </c>
      <c r="Y55">
        <v>4.5</v>
      </c>
      <c r="Z55">
        <v>0.05</v>
      </c>
      <c r="AA55">
        <v>0.1</v>
      </c>
      <c r="AB55">
        <v>6750</v>
      </c>
      <c r="AC55">
        <v>6075</v>
      </c>
      <c r="AD55">
        <v>81</v>
      </c>
      <c r="AE55">
        <v>303.75</v>
      </c>
      <c r="AF55">
        <v>304</v>
      </c>
      <c r="AG55">
        <v>2925</v>
      </c>
      <c r="AH55">
        <v>2542.25</v>
      </c>
      <c r="AI55" s="5">
        <v>0.41847736625514398</v>
      </c>
    </row>
    <row r="56" spans="14:35" x14ac:dyDescent="0.25">
      <c r="N56" t="s">
        <v>70</v>
      </c>
      <c r="O56" s="1">
        <v>46154.541666666664</v>
      </c>
      <c r="P56" t="s">
        <v>22</v>
      </c>
      <c r="Q56" t="s">
        <v>23</v>
      </c>
      <c r="R56" t="s">
        <v>29</v>
      </c>
      <c r="S56">
        <v>151</v>
      </c>
      <c r="T56" t="s">
        <v>25</v>
      </c>
      <c r="U56">
        <v>150</v>
      </c>
      <c r="V56">
        <v>65</v>
      </c>
      <c r="W56">
        <v>1.8</v>
      </c>
      <c r="X56" t="s">
        <v>26</v>
      </c>
      <c r="Y56">
        <v>4.5</v>
      </c>
      <c r="Z56">
        <v>0.05</v>
      </c>
      <c r="AA56">
        <v>0.1</v>
      </c>
      <c r="AB56">
        <v>22650</v>
      </c>
      <c r="AC56">
        <v>20385</v>
      </c>
      <c r="AD56">
        <v>271.8</v>
      </c>
      <c r="AE56">
        <v>1019.25</v>
      </c>
      <c r="AF56">
        <v>1019</v>
      </c>
      <c r="AG56">
        <v>9815</v>
      </c>
      <c r="AH56">
        <v>8531.75</v>
      </c>
      <c r="AI56" s="5">
        <v>0.41853078243806702</v>
      </c>
    </row>
    <row r="57" spans="14:35" x14ac:dyDescent="0.25">
      <c r="N57" t="s">
        <v>71</v>
      </c>
      <c r="O57" s="1">
        <v>46154.583333333336</v>
      </c>
      <c r="P57" t="s">
        <v>22</v>
      </c>
      <c r="Q57" t="s">
        <v>23</v>
      </c>
      <c r="R57" t="s">
        <v>32</v>
      </c>
      <c r="S57">
        <v>62</v>
      </c>
      <c r="T57" t="s">
        <v>25</v>
      </c>
      <c r="U57">
        <v>150</v>
      </c>
      <c r="V57">
        <v>65</v>
      </c>
      <c r="W57">
        <v>1.8</v>
      </c>
      <c r="X57" t="s">
        <v>26</v>
      </c>
      <c r="Y57">
        <v>4.5</v>
      </c>
      <c r="Z57">
        <v>0.05</v>
      </c>
      <c r="AA57">
        <v>0.05</v>
      </c>
      <c r="AB57">
        <v>9300</v>
      </c>
      <c r="AC57">
        <v>8835</v>
      </c>
      <c r="AD57">
        <v>111.60000000000001</v>
      </c>
      <c r="AE57">
        <v>441.75</v>
      </c>
      <c r="AF57">
        <v>442</v>
      </c>
      <c r="AG57">
        <v>4030</v>
      </c>
      <c r="AH57">
        <v>3921.25</v>
      </c>
      <c r="AI57" s="5">
        <v>0.44383135257498602</v>
      </c>
    </row>
    <row r="58" spans="14:35" x14ac:dyDescent="0.25">
      <c r="N58" t="s">
        <v>72</v>
      </c>
      <c r="O58" s="1">
        <v>46154.875</v>
      </c>
      <c r="P58" t="s">
        <v>22</v>
      </c>
      <c r="Q58" t="s">
        <v>23</v>
      </c>
      <c r="R58" t="s">
        <v>32</v>
      </c>
      <c r="S58">
        <v>97</v>
      </c>
      <c r="T58" t="s">
        <v>25</v>
      </c>
      <c r="U58">
        <v>150</v>
      </c>
      <c r="V58">
        <v>65</v>
      </c>
      <c r="W58">
        <v>1.8</v>
      </c>
      <c r="X58" t="s">
        <v>26</v>
      </c>
      <c r="Y58">
        <v>4.5</v>
      </c>
      <c r="Z58">
        <v>0.05</v>
      </c>
      <c r="AA58">
        <v>0.05</v>
      </c>
      <c r="AB58">
        <v>14550</v>
      </c>
      <c r="AC58">
        <v>13822</v>
      </c>
      <c r="AD58">
        <v>174.6</v>
      </c>
      <c r="AE58">
        <v>691.1</v>
      </c>
      <c r="AF58">
        <v>691</v>
      </c>
      <c r="AG58">
        <v>6305</v>
      </c>
      <c r="AH58">
        <v>6134.9</v>
      </c>
      <c r="AI58" s="5">
        <v>0.44385038344667899</v>
      </c>
    </row>
    <row r="59" spans="14:35" x14ac:dyDescent="0.25">
      <c r="N59" t="s">
        <v>73</v>
      </c>
      <c r="O59" s="1">
        <v>46155.041666666664</v>
      </c>
      <c r="P59" t="s">
        <v>22</v>
      </c>
      <c r="Q59" t="s">
        <v>23</v>
      </c>
      <c r="R59" t="s">
        <v>32</v>
      </c>
      <c r="S59">
        <v>38</v>
      </c>
      <c r="T59" t="s">
        <v>25</v>
      </c>
      <c r="U59">
        <v>150</v>
      </c>
      <c r="V59">
        <v>65</v>
      </c>
      <c r="W59">
        <v>1.8</v>
      </c>
      <c r="X59" t="s">
        <v>26</v>
      </c>
      <c r="Y59">
        <v>4.5</v>
      </c>
      <c r="Z59">
        <v>0.05</v>
      </c>
      <c r="AA59">
        <v>0.05</v>
      </c>
      <c r="AB59">
        <v>5700</v>
      </c>
      <c r="AC59">
        <v>5415</v>
      </c>
      <c r="AD59">
        <v>68.400000000000006</v>
      </c>
      <c r="AE59">
        <v>270.75</v>
      </c>
      <c r="AF59">
        <v>271</v>
      </c>
      <c r="AG59">
        <v>2470</v>
      </c>
      <c r="AH59">
        <v>2403.25</v>
      </c>
      <c r="AI59" s="5">
        <v>0.44381348107109903</v>
      </c>
    </row>
    <row r="60" spans="14:35" x14ac:dyDescent="0.25">
      <c r="N60" t="s">
        <v>74</v>
      </c>
      <c r="O60" s="1">
        <v>46155.208333333336</v>
      </c>
      <c r="P60" t="s">
        <v>22</v>
      </c>
      <c r="Q60" t="s">
        <v>23</v>
      </c>
      <c r="R60" t="s">
        <v>24</v>
      </c>
      <c r="S60">
        <v>132</v>
      </c>
      <c r="T60" t="s">
        <v>25</v>
      </c>
      <c r="U60">
        <v>150</v>
      </c>
      <c r="V60">
        <v>65</v>
      </c>
      <c r="W60">
        <v>1.8</v>
      </c>
      <c r="X60" t="s">
        <v>26</v>
      </c>
      <c r="Y60">
        <v>4.5</v>
      </c>
      <c r="Z60">
        <v>0.05</v>
      </c>
      <c r="AA60">
        <v>0.02</v>
      </c>
      <c r="AB60">
        <v>19800</v>
      </c>
      <c r="AC60">
        <v>19404</v>
      </c>
      <c r="AD60">
        <v>237.6</v>
      </c>
      <c r="AE60">
        <v>970.2</v>
      </c>
      <c r="AF60">
        <v>970</v>
      </c>
      <c r="AG60">
        <v>8580</v>
      </c>
      <c r="AH60">
        <v>8883.7999999999993</v>
      </c>
      <c r="AI60" s="5">
        <v>0.45783343640486501</v>
      </c>
    </row>
    <row r="61" spans="14:35" x14ac:dyDescent="0.25">
      <c r="N61" t="s">
        <v>75</v>
      </c>
      <c r="O61" s="1">
        <v>46155.458333333336</v>
      </c>
      <c r="P61" t="s">
        <v>22</v>
      </c>
      <c r="Q61" t="s">
        <v>23</v>
      </c>
      <c r="R61" t="s">
        <v>32</v>
      </c>
      <c r="S61">
        <v>26</v>
      </c>
      <c r="T61" t="s">
        <v>25</v>
      </c>
      <c r="U61">
        <v>150</v>
      </c>
      <c r="V61">
        <v>65</v>
      </c>
      <c r="W61">
        <v>1.8</v>
      </c>
      <c r="X61" t="s">
        <v>26</v>
      </c>
      <c r="Y61">
        <v>4.5</v>
      </c>
      <c r="Z61">
        <v>0.05</v>
      </c>
      <c r="AA61">
        <v>0.05</v>
      </c>
      <c r="AB61">
        <v>3900</v>
      </c>
      <c r="AC61">
        <v>3705</v>
      </c>
      <c r="AD61">
        <v>46.800000000000004</v>
      </c>
      <c r="AE61">
        <v>185.25</v>
      </c>
      <c r="AF61">
        <v>185</v>
      </c>
      <c r="AG61">
        <v>1690</v>
      </c>
      <c r="AH61">
        <v>1644.75</v>
      </c>
      <c r="AI61" s="5">
        <v>0.44392712550607299</v>
      </c>
    </row>
    <row r="62" spans="14:35" x14ac:dyDescent="0.25">
      <c r="N62" t="s">
        <v>76</v>
      </c>
      <c r="O62" s="1">
        <v>46155.583333333336</v>
      </c>
      <c r="P62" t="s">
        <v>22</v>
      </c>
      <c r="Q62" t="s">
        <v>23</v>
      </c>
      <c r="R62" t="s">
        <v>24</v>
      </c>
      <c r="S62">
        <v>42</v>
      </c>
      <c r="T62" t="s">
        <v>25</v>
      </c>
      <c r="U62">
        <v>150</v>
      </c>
      <c r="V62">
        <v>65</v>
      </c>
      <c r="W62">
        <v>1.8</v>
      </c>
      <c r="X62" t="s">
        <v>26</v>
      </c>
      <c r="Y62">
        <v>4.5</v>
      </c>
      <c r="Z62">
        <v>0.05</v>
      </c>
      <c r="AA62">
        <v>0.02</v>
      </c>
      <c r="AB62">
        <v>6300</v>
      </c>
      <c r="AC62">
        <v>6174</v>
      </c>
      <c r="AD62">
        <v>75.600000000000009</v>
      </c>
      <c r="AE62">
        <v>308.70000000000005</v>
      </c>
      <c r="AF62">
        <v>309</v>
      </c>
      <c r="AG62">
        <v>2730</v>
      </c>
      <c r="AH62">
        <v>2826.3</v>
      </c>
      <c r="AI62" s="5">
        <v>0.457774538386783</v>
      </c>
    </row>
    <row r="63" spans="14:35" x14ac:dyDescent="0.25">
      <c r="N63" t="s">
        <v>77</v>
      </c>
      <c r="O63" s="1">
        <v>46155.75</v>
      </c>
      <c r="P63" t="s">
        <v>22</v>
      </c>
      <c r="Q63" t="s">
        <v>23</v>
      </c>
      <c r="R63" t="s">
        <v>24</v>
      </c>
      <c r="S63">
        <v>13</v>
      </c>
      <c r="T63" t="s">
        <v>25</v>
      </c>
      <c r="U63">
        <v>150</v>
      </c>
      <c r="V63">
        <v>65</v>
      </c>
      <c r="W63">
        <v>1.8</v>
      </c>
      <c r="X63" t="s">
        <v>26</v>
      </c>
      <c r="Y63">
        <v>4.5</v>
      </c>
      <c r="Z63">
        <v>0.05</v>
      </c>
      <c r="AA63">
        <v>0.02</v>
      </c>
      <c r="AB63">
        <v>1950</v>
      </c>
      <c r="AC63">
        <v>1911</v>
      </c>
      <c r="AD63">
        <v>23.400000000000002</v>
      </c>
      <c r="AE63">
        <v>95.550000000000011</v>
      </c>
      <c r="AF63">
        <v>96</v>
      </c>
      <c r="AG63">
        <v>845</v>
      </c>
      <c r="AH63">
        <v>874.45</v>
      </c>
      <c r="AI63" s="5">
        <v>0.45758765044479299</v>
      </c>
    </row>
    <row r="64" spans="14:35" x14ac:dyDescent="0.25">
      <c r="N64" t="s">
        <v>78</v>
      </c>
      <c r="O64" s="1">
        <v>46156</v>
      </c>
      <c r="P64" t="s">
        <v>22</v>
      </c>
      <c r="Q64" t="s">
        <v>23</v>
      </c>
      <c r="R64" t="s">
        <v>29</v>
      </c>
      <c r="S64">
        <v>106</v>
      </c>
      <c r="T64" t="s">
        <v>25</v>
      </c>
      <c r="U64">
        <v>150</v>
      </c>
      <c r="V64">
        <v>65</v>
      </c>
      <c r="W64">
        <v>1.8</v>
      </c>
      <c r="X64" t="s">
        <v>26</v>
      </c>
      <c r="Y64">
        <v>4.5</v>
      </c>
      <c r="Z64">
        <v>0.05</v>
      </c>
      <c r="AA64">
        <v>0.1</v>
      </c>
      <c r="AB64">
        <v>15900</v>
      </c>
      <c r="AC64">
        <v>14310</v>
      </c>
      <c r="AD64">
        <v>190.8</v>
      </c>
      <c r="AE64">
        <v>715.5</v>
      </c>
      <c r="AF64">
        <v>716</v>
      </c>
      <c r="AG64">
        <v>6890</v>
      </c>
      <c r="AH64">
        <v>5988.5</v>
      </c>
      <c r="AI64" s="5">
        <v>0.41848357791753998</v>
      </c>
    </row>
    <row r="65" spans="14:35" x14ac:dyDescent="0.25">
      <c r="N65" t="s">
        <v>79</v>
      </c>
      <c r="O65" s="1">
        <v>46156.041666666664</v>
      </c>
      <c r="P65" t="s">
        <v>22</v>
      </c>
      <c r="Q65" t="s">
        <v>23</v>
      </c>
      <c r="R65" t="s">
        <v>29</v>
      </c>
      <c r="S65">
        <v>73</v>
      </c>
      <c r="T65" t="s">
        <v>25</v>
      </c>
      <c r="U65">
        <v>150</v>
      </c>
      <c r="V65">
        <v>65</v>
      </c>
      <c r="W65">
        <v>1.8</v>
      </c>
      <c r="X65" t="s">
        <v>26</v>
      </c>
      <c r="Y65">
        <v>4.5</v>
      </c>
      <c r="Z65">
        <v>0.05</v>
      </c>
      <c r="AA65">
        <v>0.1</v>
      </c>
      <c r="AB65">
        <v>10950</v>
      </c>
      <c r="AC65">
        <v>9855</v>
      </c>
      <c r="AD65">
        <v>131.4</v>
      </c>
      <c r="AE65">
        <v>492.75</v>
      </c>
      <c r="AF65">
        <v>493</v>
      </c>
      <c r="AG65">
        <v>4745</v>
      </c>
      <c r="AH65">
        <v>4124.25</v>
      </c>
      <c r="AI65" s="5">
        <v>0.41849315068493198</v>
      </c>
    </row>
    <row r="66" spans="14:35" x14ac:dyDescent="0.25">
      <c r="N66" t="s">
        <v>80</v>
      </c>
      <c r="O66" s="1">
        <v>46157</v>
      </c>
      <c r="P66" t="s">
        <v>22</v>
      </c>
      <c r="Q66" t="s">
        <v>23</v>
      </c>
      <c r="R66" t="s">
        <v>32</v>
      </c>
      <c r="S66">
        <v>71</v>
      </c>
      <c r="T66" t="s">
        <v>25</v>
      </c>
      <c r="U66">
        <v>150</v>
      </c>
      <c r="V66">
        <v>65</v>
      </c>
      <c r="W66">
        <v>1.8</v>
      </c>
      <c r="X66" t="s">
        <v>26</v>
      </c>
      <c r="Y66">
        <v>4.5</v>
      </c>
      <c r="Z66">
        <v>0.05</v>
      </c>
      <c r="AA66">
        <v>0.05</v>
      </c>
      <c r="AB66">
        <v>10650</v>
      </c>
      <c r="AC66">
        <v>10118</v>
      </c>
      <c r="AD66">
        <v>127.8</v>
      </c>
      <c r="AE66">
        <v>505.90000000000003</v>
      </c>
      <c r="AF66">
        <v>506</v>
      </c>
      <c r="AG66">
        <v>4615</v>
      </c>
      <c r="AH66">
        <v>4491.1000000000004</v>
      </c>
      <c r="AI66" s="5">
        <v>0.44387230677999601</v>
      </c>
    </row>
    <row r="67" spans="14:35" x14ac:dyDescent="0.25">
      <c r="N67" t="s">
        <v>81</v>
      </c>
      <c r="O67" s="1">
        <v>46157.125</v>
      </c>
      <c r="P67" t="s">
        <v>22</v>
      </c>
      <c r="Q67" t="s">
        <v>23</v>
      </c>
      <c r="R67" t="s">
        <v>29</v>
      </c>
      <c r="S67">
        <v>176</v>
      </c>
      <c r="T67" t="s">
        <v>25</v>
      </c>
      <c r="U67">
        <v>150</v>
      </c>
      <c r="V67">
        <v>65</v>
      </c>
      <c r="W67">
        <v>1.8</v>
      </c>
      <c r="X67" t="s">
        <v>26</v>
      </c>
      <c r="Y67">
        <v>4.5</v>
      </c>
      <c r="Z67">
        <v>0.05</v>
      </c>
      <c r="AA67">
        <v>0.1</v>
      </c>
      <c r="AB67">
        <v>26400</v>
      </c>
      <c r="AC67">
        <v>23760</v>
      </c>
      <c r="AD67">
        <v>316.8</v>
      </c>
      <c r="AE67">
        <v>1188</v>
      </c>
      <c r="AF67">
        <v>1188</v>
      </c>
      <c r="AG67">
        <v>11440</v>
      </c>
      <c r="AH67">
        <v>9944</v>
      </c>
      <c r="AI67" s="5">
        <v>0.41851851851851801</v>
      </c>
    </row>
    <row r="68" spans="14:35" x14ac:dyDescent="0.25">
      <c r="N68" t="s">
        <v>82</v>
      </c>
      <c r="O68" s="1">
        <v>46157.583333333336</v>
      </c>
      <c r="P68" t="s">
        <v>22</v>
      </c>
      <c r="Q68" t="s">
        <v>23</v>
      </c>
      <c r="R68" t="s">
        <v>29</v>
      </c>
      <c r="S68">
        <v>134</v>
      </c>
      <c r="T68" t="s">
        <v>25</v>
      </c>
      <c r="U68">
        <v>150</v>
      </c>
      <c r="V68">
        <v>65</v>
      </c>
      <c r="W68">
        <v>1.8</v>
      </c>
      <c r="X68" t="s">
        <v>26</v>
      </c>
      <c r="Y68">
        <v>4.5</v>
      </c>
      <c r="Z68">
        <v>0.05</v>
      </c>
      <c r="AA68">
        <v>0.1</v>
      </c>
      <c r="AB68">
        <v>20100</v>
      </c>
      <c r="AC68">
        <v>18090</v>
      </c>
      <c r="AD68">
        <v>241.20000000000002</v>
      </c>
      <c r="AE68">
        <v>904.5</v>
      </c>
      <c r="AF68">
        <v>904</v>
      </c>
      <c r="AG68">
        <v>8710</v>
      </c>
      <c r="AH68">
        <v>7571.5</v>
      </c>
      <c r="AI68" s="5">
        <v>0.41854615809839701</v>
      </c>
    </row>
    <row r="69" spans="14:35" x14ac:dyDescent="0.25">
      <c r="N69" t="s">
        <v>83</v>
      </c>
      <c r="O69" s="1">
        <v>46158.916666666664</v>
      </c>
      <c r="P69" t="s">
        <v>22</v>
      </c>
      <c r="Q69" t="s">
        <v>23</v>
      </c>
      <c r="R69" t="s">
        <v>29</v>
      </c>
      <c r="S69">
        <v>98</v>
      </c>
      <c r="T69" t="s">
        <v>25</v>
      </c>
      <c r="U69">
        <v>150</v>
      </c>
      <c r="V69">
        <v>65</v>
      </c>
      <c r="W69">
        <v>1.8</v>
      </c>
      <c r="X69" t="s">
        <v>26</v>
      </c>
      <c r="Y69">
        <v>4.5</v>
      </c>
      <c r="Z69">
        <v>0.05</v>
      </c>
      <c r="AA69">
        <v>0.1</v>
      </c>
      <c r="AB69">
        <v>14700</v>
      </c>
      <c r="AC69">
        <v>13230</v>
      </c>
      <c r="AD69">
        <v>176.4</v>
      </c>
      <c r="AE69">
        <v>661.5</v>
      </c>
      <c r="AF69">
        <v>662</v>
      </c>
      <c r="AG69">
        <v>6370</v>
      </c>
      <c r="AH69">
        <v>5536.5</v>
      </c>
      <c r="AI69" s="5">
        <v>0.41848072562358302</v>
      </c>
    </row>
    <row r="70" spans="14:35" x14ac:dyDescent="0.25">
      <c r="N70" t="s">
        <v>84</v>
      </c>
      <c r="O70" s="1">
        <v>46159.291666666664</v>
      </c>
      <c r="P70" t="s">
        <v>22</v>
      </c>
      <c r="Q70" t="s">
        <v>23</v>
      </c>
      <c r="R70" t="s">
        <v>29</v>
      </c>
      <c r="S70">
        <v>38</v>
      </c>
      <c r="T70" t="s">
        <v>25</v>
      </c>
      <c r="U70">
        <v>150</v>
      </c>
      <c r="V70">
        <v>65</v>
      </c>
      <c r="W70">
        <v>1.8</v>
      </c>
      <c r="X70" t="s">
        <v>26</v>
      </c>
      <c r="Y70">
        <v>4.5</v>
      </c>
      <c r="Z70">
        <v>0.05</v>
      </c>
      <c r="AA70">
        <v>0.1</v>
      </c>
      <c r="AB70">
        <v>5700</v>
      </c>
      <c r="AC70">
        <v>5130</v>
      </c>
      <c r="AD70">
        <v>68.400000000000006</v>
      </c>
      <c r="AE70">
        <v>256.5</v>
      </c>
      <c r="AF70">
        <v>256</v>
      </c>
      <c r="AG70">
        <v>2470</v>
      </c>
      <c r="AH70">
        <v>2147.5</v>
      </c>
      <c r="AI70" s="5">
        <v>0.418615984405458</v>
      </c>
    </row>
    <row r="71" spans="14:35" x14ac:dyDescent="0.25">
      <c r="N71" t="s">
        <v>85</v>
      </c>
      <c r="O71" s="1">
        <v>46159.541666666664</v>
      </c>
      <c r="P71" t="s">
        <v>22</v>
      </c>
      <c r="Q71" t="s">
        <v>23</v>
      </c>
      <c r="R71" t="s">
        <v>24</v>
      </c>
      <c r="S71">
        <v>143</v>
      </c>
      <c r="T71" t="s">
        <v>25</v>
      </c>
      <c r="U71">
        <v>150</v>
      </c>
      <c r="V71">
        <v>65</v>
      </c>
      <c r="W71">
        <v>1.8</v>
      </c>
      <c r="X71" t="s">
        <v>26</v>
      </c>
      <c r="Y71">
        <v>4.5</v>
      </c>
      <c r="Z71">
        <v>0.05</v>
      </c>
      <c r="AA71">
        <v>0.02</v>
      </c>
      <c r="AB71">
        <v>21450</v>
      </c>
      <c r="AC71">
        <v>21021</v>
      </c>
      <c r="AD71">
        <v>257.40000000000003</v>
      </c>
      <c r="AE71">
        <v>1051.05</v>
      </c>
      <c r="AF71">
        <v>1051</v>
      </c>
      <c r="AG71">
        <v>9295</v>
      </c>
      <c r="AH71">
        <v>9623.9500000000007</v>
      </c>
      <c r="AI71" s="5">
        <v>0.45782550782550802</v>
      </c>
    </row>
    <row r="72" spans="14:35" x14ac:dyDescent="0.25">
      <c r="N72" t="s">
        <v>86</v>
      </c>
      <c r="O72" s="1">
        <v>46159.791666666664</v>
      </c>
      <c r="P72" t="s">
        <v>22</v>
      </c>
      <c r="Q72" t="s">
        <v>23</v>
      </c>
      <c r="R72" t="s">
        <v>24</v>
      </c>
      <c r="S72">
        <v>103</v>
      </c>
      <c r="T72" t="s">
        <v>25</v>
      </c>
      <c r="U72">
        <v>150</v>
      </c>
      <c r="V72">
        <v>65</v>
      </c>
      <c r="W72">
        <v>1.8</v>
      </c>
      <c r="X72" t="s">
        <v>26</v>
      </c>
      <c r="Y72">
        <v>4.5</v>
      </c>
      <c r="Z72">
        <v>0.05</v>
      </c>
      <c r="AA72">
        <v>0.02</v>
      </c>
      <c r="AB72">
        <v>15450</v>
      </c>
      <c r="AC72">
        <v>15141</v>
      </c>
      <c r="AD72">
        <v>185.4</v>
      </c>
      <c r="AE72">
        <v>757.05000000000007</v>
      </c>
      <c r="AF72">
        <v>757</v>
      </c>
      <c r="AG72">
        <v>6695</v>
      </c>
      <c r="AH72">
        <v>6931.9500000000007</v>
      </c>
      <c r="AI72" s="5">
        <v>0.45782643154349101</v>
      </c>
    </row>
    <row r="73" spans="14:35" x14ac:dyDescent="0.25">
      <c r="N73" t="s">
        <v>87</v>
      </c>
      <c r="O73" s="1">
        <v>46159.916666666664</v>
      </c>
      <c r="P73" t="s">
        <v>22</v>
      </c>
      <c r="Q73" t="s">
        <v>23</v>
      </c>
      <c r="R73" t="s">
        <v>32</v>
      </c>
      <c r="S73">
        <v>192</v>
      </c>
      <c r="T73" t="s">
        <v>25</v>
      </c>
      <c r="U73">
        <v>150</v>
      </c>
      <c r="V73">
        <v>65</v>
      </c>
      <c r="W73">
        <v>1.8</v>
      </c>
      <c r="X73" t="s">
        <v>26</v>
      </c>
      <c r="Y73">
        <v>4.5</v>
      </c>
      <c r="Z73">
        <v>0.05</v>
      </c>
      <c r="AA73">
        <v>0.05</v>
      </c>
      <c r="AB73">
        <v>28800</v>
      </c>
      <c r="AC73">
        <v>27360</v>
      </c>
      <c r="AD73">
        <v>345.6</v>
      </c>
      <c r="AE73">
        <v>1368</v>
      </c>
      <c r="AF73">
        <v>1368</v>
      </c>
      <c r="AG73">
        <v>12480</v>
      </c>
      <c r="AH73">
        <v>12144</v>
      </c>
      <c r="AI73" s="5">
        <v>0.44385964912280701</v>
      </c>
    </row>
    <row r="74" spans="14:35" x14ac:dyDescent="0.25">
      <c r="N74" t="s">
        <v>88</v>
      </c>
      <c r="O74" s="1">
        <v>46159.958333333336</v>
      </c>
      <c r="P74" t="s">
        <v>22</v>
      </c>
      <c r="Q74" t="s">
        <v>23</v>
      </c>
      <c r="R74" t="s">
        <v>29</v>
      </c>
      <c r="S74">
        <v>98</v>
      </c>
      <c r="T74" t="s">
        <v>25</v>
      </c>
      <c r="U74">
        <v>150</v>
      </c>
      <c r="V74">
        <v>65</v>
      </c>
      <c r="W74">
        <v>1.8</v>
      </c>
      <c r="X74" t="s">
        <v>26</v>
      </c>
      <c r="Y74">
        <v>4.5</v>
      </c>
      <c r="Z74">
        <v>0.05</v>
      </c>
      <c r="AA74">
        <v>0.1</v>
      </c>
      <c r="AB74">
        <v>14700</v>
      </c>
      <c r="AC74">
        <v>13230</v>
      </c>
      <c r="AD74">
        <v>176.4</v>
      </c>
      <c r="AE74">
        <v>661.5</v>
      </c>
      <c r="AF74">
        <v>662</v>
      </c>
      <c r="AG74">
        <v>6370</v>
      </c>
      <c r="AH74">
        <v>5536.5</v>
      </c>
      <c r="AI74" s="5">
        <v>0.41848072562358302</v>
      </c>
    </row>
    <row r="75" spans="14:35" x14ac:dyDescent="0.25">
      <c r="N75" t="s">
        <v>89</v>
      </c>
      <c r="O75" s="1">
        <v>46160.25</v>
      </c>
      <c r="P75" t="s">
        <v>22</v>
      </c>
      <c r="Q75" t="s">
        <v>23</v>
      </c>
      <c r="R75" t="s">
        <v>29</v>
      </c>
      <c r="S75">
        <v>56</v>
      </c>
      <c r="T75" t="s">
        <v>25</v>
      </c>
      <c r="U75">
        <v>150</v>
      </c>
      <c r="V75">
        <v>65</v>
      </c>
      <c r="W75">
        <v>1.8</v>
      </c>
      <c r="X75" t="s">
        <v>26</v>
      </c>
      <c r="Y75">
        <v>4.5</v>
      </c>
      <c r="Z75">
        <v>0.05</v>
      </c>
      <c r="AA75">
        <v>0.1</v>
      </c>
      <c r="AB75">
        <v>8400</v>
      </c>
      <c r="AC75">
        <v>7560</v>
      </c>
      <c r="AD75">
        <v>100.8</v>
      </c>
      <c r="AE75">
        <v>378</v>
      </c>
      <c r="AF75">
        <v>378</v>
      </c>
      <c r="AG75">
        <v>3640</v>
      </c>
      <c r="AH75">
        <v>3164</v>
      </c>
      <c r="AI75" s="5">
        <v>0.41851851851851801</v>
      </c>
    </row>
    <row r="76" spans="14:35" x14ac:dyDescent="0.25">
      <c r="N76" t="s">
        <v>90</v>
      </c>
      <c r="O76" s="1">
        <v>46160.541666666664</v>
      </c>
      <c r="P76" t="s">
        <v>22</v>
      </c>
      <c r="Q76" t="s">
        <v>23</v>
      </c>
      <c r="R76" t="s">
        <v>32</v>
      </c>
      <c r="S76">
        <v>181</v>
      </c>
      <c r="T76" t="s">
        <v>25</v>
      </c>
      <c r="U76">
        <v>150</v>
      </c>
      <c r="V76">
        <v>65</v>
      </c>
      <c r="W76">
        <v>1.8</v>
      </c>
      <c r="X76" t="s">
        <v>26</v>
      </c>
      <c r="Y76">
        <v>4.5</v>
      </c>
      <c r="Z76">
        <v>0.05</v>
      </c>
      <c r="AA76">
        <v>0.05</v>
      </c>
      <c r="AB76">
        <v>27150</v>
      </c>
      <c r="AC76">
        <v>25792</v>
      </c>
      <c r="AD76">
        <v>325.8</v>
      </c>
      <c r="AE76">
        <v>1289.6000000000001</v>
      </c>
      <c r="AF76">
        <v>1290</v>
      </c>
      <c r="AG76">
        <v>11765</v>
      </c>
      <c r="AH76">
        <v>11447.4</v>
      </c>
      <c r="AI76" s="5">
        <v>0.44383529776674902</v>
      </c>
    </row>
    <row r="77" spans="14:35" x14ac:dyDescent="0.25">
      <c r="N77" t="s">
        <v>91</v>
      </c>
      <c r="O77" s="1">
        <v>46160.833333333336</v>
      </c>
      <c r="P77" t="s">
        <v>22</v>
      </c>
      <c r="Q77" t="s">
        <v>23</v>
      </c>
      <c r="R77" t="s">
        <v>24</v>
      </c>
      <c r="S77">
        <v>197</v>
      </c>
      <c r="T77" t="s">
        <v>25</v>
      </c>
      <c r="U77">
        <v>150</v>
      </c>
      <c r="V77">
        <v>65</v>
      </c>
      <c r="W77">
        <v>1.8</v>
      </c>
      <c r="X77" t="s">
        <v>26</v>
      </c>
      <c r="Y77">
        <v>4.5</v>
      </c>
      <c r="Z77">
        <v>0.05</v>
      </c>
      <c r="AA77">
        <v>0.02</v>
      </c>
      <c r="AB77">
        <v>29550</v>
      </c>
      <c r="AC77">
        <v>28959</v>
      </c>
      <c r="AD77">
        <v>354.6</v>
      </c>
      <c r="AE77">
        <v>1447.95</v>
      </c>
      <c r="AF77">
        <v>1448</v>
      </c>
      <c r="AG77">
        <v>12805</v>
      </c>
      <c r="AH77">
        <v>13258.05</v>
      </c>
      <c r="AI77" s="5">
        <v>0.45782140267274402</v>
      </c>
    </row>
    <row r="78" spans="14:35" x14ac:dyDescent="0.25">
      <c r="N78" t="s">
        <v>92</v>
      </c>
      <c r="O78" s="1">
        <v>46161.291666666664</v>
      </c>
      <c r="P78" t="s">
        <v>22</v>
      </c>
      <c r="Q78" t="s">
        <v>23</v>
      </c>
      <c r="R78" t="s">
        <v>32</v>
      </c>
      <c r="S78">
        <v>158</v>
      </c>
      <c r="T78" t="s">
        <v>25</v>
      </c>
      <c r="U78">
        <v>150</v>
      </c>
      <c r="V78">
        <v>65</v>
      </c>
      <c r="W78">
        <v>1.8</v>
      </c>
      <c r="X78" t="s">
        <v>26</v>
      </c>
      <c r="Y78">
        <v>4.5</v>
      </c>
      <c r="Z78">
        <v>0.05</v>
      </c>
      <c r="AA78">
        <v>0.05</v>
      </c>
      <c r="AB78">
        <v>23700</v>
      </c>
      <c r="AC78">
        <v>22515</v>
      </c>
      <c r="AD78">
        <v>284.40000000000003</v>
      </c>
      <c r="AE78">
        <v>1125.75</v>
      </c>
      <c r="AF78">
        <v>1126</v>
      </c>
      <c r="AG78">
        <v>10270</v>
      </c>
      <c r="AH78">
        <v>9993.25</v>
      </c>
      <c r="AI78" s="5">
        <v>0.44384854541416802</v>
      </c>
    </row>
    <row r="79" spans="14:35" x14ac:dyDescent="0.25">
      <c r="N79" t="s">
        <v>93</v>
      </c>
      <c r="O79" s="1">
        <v>46161.333333333336</v>
      </c>
      <c r="P79" t="s">
        <v>22</v>
      </c>
      <c r="Q79" t="s">
        <v>23</v>
      </c>
      <c r="R79" t="s">
        <v>24</v>
      </c>
      <c r="S79">
        <v>22</v>
      </c>
      <c r="T79" t="s">
        <v>25</v>
      </c>
      <c r="U79">
        <v>150</v>
      </c>
      <c r="V79">
        <v>65</v>
      </c>
      <c r="W79">
        <v>1.8</v>
      </c>
      <c r="X79" t="s">
        <v>26</v>
      </c>
      <c r="Y79">
        <v>4.5</v>
      </c>
      <c r="Z79">
        <v>0.05</v>
      </c>
      <c r="AA79">
        <v>0.02</v>
      </c>
      <c r="AB79">
        <v>3300</v>
      </c>
      <c r="AC79">
        <v>3234</v>
      </c>
      <c r="AD79">
        <v>39.6</v>
      </c>
      <c r="AE79">
        <v>161.70000000000002</v>
      </c>
      <c r="AF79">
        <v>162</v>
      </c>
      <c r="AG79">
        <v>1430</v>
      </c>
      <c r="AH79">
        <v>1480.3</v>
      </c>
      <c r="AI79" s="5">
        <v>0.457730364873222</v>
      </c>
    </row>
    <row r="80" spans="14:35" x14ac:dyDescent="0.25">
      <c r="N80" t="s">
        <v>94</v>
      </c>
      <c r="O80" s="1">
        <v>46161.541666666664</v>
      </c>
      <c r="P80" t="s">
        <v>22</v>
      </c>
      <c r="Q80" t="s">
        <v>23</v>
      </c>
      <c r="R80" t="s">
        <v>29</v>
      </c>
      <c r="S80">
        <v>179</v>
      </c>
      <c r="T80" t="s">
        <v>25</v>
      </c>
      <c r="U80">
        <v>150</v>
      </c>
      <c r="V80">
        <v>65</v>
      </c>
      <c r="W80">
        <v>1.8</v>
      </c>
      <c r="X80" t="s">
        <v>26</v>
      </c>
      <c r="Y80">
        <v>4.5</v>
      </c>
      <c r="Z80">
        <v>0.05</v>
      </c>
      <c r="AA80">
        <v>0.1</v>
      </c>
      <c r="AB80">
        <v>26850</v>
      </c>
      <c r="AC80">
        <v>24165</v>
      </c>
      <c r="AD80">
        <v>322.2</v>
      </c>
      <c r="AE80">
        <v>1208.25</v>
      </c>
      <c r="AF80">
        <v>1208</v>
      </c>
      <c r="AG80">
        <v>11635</v>
      </c>
      <c r="AH80">
        <v>10113.75</v>
      </c>
      <c r="AI80" s="5">
        <v>0.41852886405959</v>
      </c>
    </row>
    <row r="81" spans="14:35" x14ac:dyDescent="0.25">
      <c r="N81" t="s">
        <v>95</v>
      </c>
      <c r="O81" s="1">
        <v>46161.666666666664</v>
      </c>
      <c r="P81" t="s">
        <v>22</v>
      </c>
      <c r="Q81" t="s">
        <v>23</v>
      </c>
      <c r="R81" t="s">
        <v>32</v>
      </c>
      <c r="S81">
        <v>23</v>
      </c>
      <c r="T81" t="s">
        <v>25</v>
      </c>
      <c r="U81">
        <v>150</v>
      </c>
      <c r="V81">
        <v>65</v>
      </c>
      <c r="W81">
        <v>1.8</v>
      </c>
      <c r="X81" t="s">
        <v>26</v>
      </c>
      <c r="Y81">
        <v>4.5</v>
      </c>
      <c r="Z81">
        <v>0.05</v>
      </c>
      <c r="AA81">
        <v>0.05</v>
      </c>
      <c r="AB81">
        <v>3450</v>
      </c>
      <c r="AC81">
        <v>3278</v>
      </c>
      <c r="AD81">
        <v>41.4</v>
      </c>
      <c r="AE81">
        <v>163.9</v>
      </c>
      <c r="AF81">
        <v>164</v>
      </c>
      <c r="AG81">
        <v>1495</v>
      </c>
      <c r="AH81">
        <v>1455.1</v>
      </c>
      <c r="AI81" s="5">
        <v>0.44389871873093301</v>
      </c>
    </row>
    <row r="82" spans="14:35" x14ac:dyDescent="0.25">
      <c r="N82" t="s">
        <v>96</v>
      </c>
      <c r="O82" s="1">
        <v>46161.791666666664</v>
      </c>
      <c r="P82" t="s">
        <v>22</v>
      </c>
      <c r="Q82" t="s">
        <v>23</v>
      </c>
      <c r="R82" t="s">
        <v>29</v>
      </c>
      <c r="S82">
        <v>122</v>
      </c>
      <c r="T82" t="s">
        <v>25</v>
      </c>
      <c r="U82">
        <v>150</v>
      </c>
      <c r="V82">
        <v>65</v>
      </c>
      <c r="W82">
        <v>1.8</v>
      </c>
      <c r="X82" t="s">
        <v>26</v>
      </c>
      <c r="Y82">
        <v>4.5</v>
      </c>
      <c r="Z82">
        <v>0.05</v>
      </c>
      <c r="AA82">
        <v>0.1</v>
      </c>
      <c r="AB82">
        <v>18300</v>
      </c>
      <c r="AC82">
        <v>16470</v>
      </c>
      <c r="AD82">
        <v>219.6</v>
      </c>
      <c r="AE82">
        <v>823.5</v>
      </c>
      <c r="AF82">
        <v>824</v>
      </c>
      <c r="AG82">
        <v>7930</v>
      </c>
      <c r="AH82">
        <v>6892.5</v>
      </c>
      <c r="AI82" s="5">
        <v>0.41848816029143898</v>
      </c>
    </row>
    <row r="83" spans="14:35" x14ac:dyDescent="0.25">
      <c r="N83" t="s">
        <v>97</v>
      </c>
      <c r="O83" s="1">
        <v>46162.166666666664</v>
      </c>
      <c r="P83" t="s">
        <v>22</v>
      </c>
      <c r="Q83" t="s">
        <v>23</v>
      </c>
      <c r="R83" t="s">
        <v>32</v>
      </c>
      <c r="S83">
        <v>118</v>
      </c>
      <c r="T83" t="s">
        <v>25</v>
      </c>
      <c r="U83">
        <v>150</v>
      </c>
      <c r="V83">
        <v>65</v>
      </c>
      <c r="W83">
        <v>1.8</v>
      </c>
      <c r="X83" t="s">
        <v>26</v>
      </c>
      <c r="Y83">
        <v>4.5</v>
      </c>
      <c r="Z83">
        <v>0.05</v>
      </c>
      <c r="AA83">
        <v>0.05</v>
      </c>
      <c r="AB83">
        <v>17700</v>
      </c>
      <c r="AC83">
        <v>16815</v>
      </c>
      <c r="AD83">
        <v>212.4</v>
      </c>
      <c r="AE83">
        <v>840.75</v>
      </c>
      <c r="AF83">
        <v>841</v>
      </c>
      <c r="AG83">
        <v>7670</v>
      </c>
      <c r="AH83">
        <v>7463.25</v>
      </c>
      <c r="AI83" s="5">
        <v>0.443844781445138</v>
      </c>
    </row>
    <row r="84" spans="14:35" x14ac:dyDescent="0.25">
      <c r="N84" t="s">
        <v>98</v>
      </c>
      <c r="O84" s="1">
        <v>46162.916666666664</v>
      </c>
      <c r="P84" t="s">
        <v>22</v>
      </c>
      <c r="Q84" t="s">
        <v>23</v>
      </c>
      <c r="R84" t="s">
        <v>32</v>
      </c>
      <c r="S84">
        <v>191</v>
      </c>
      <c r="T84" t="s">
        <v>25</v>
      </c>
      <c r="U84">
        <v>150</v>
      </c>
      <c r="V84">
        <v>65</v>
      </c>
      <c r="W84">
        <v>1.8</v>
      </c>
      <c r="X84" t="s">
        <v>26</v>
      </c>
      <c r="Y84">
        <v>4.5</v>
      </c>
      <c r="Z84">
        <v>0.05</v>
      </c>
      <c r="AA84">
        <v>0.05</v>
      </c>
      <c r="AB84">
        <v>28650</v>
      </c>
      <c r="AC84">
        <v>27218</v>
      </c>
      <c r="AD84">
        <v>343.8</v>
      </c>
      <c r="AE84">
        <v>1360.9</v>
      </c>
      <c r="AF84">
        <v>1361</v>
      </c>
      <c r="AG84">
        <v>12415</v>
      </c>
      <c r="AH84">
        <v>12081.1</v>
      </c>
      <c r="AI84" s="5">
        <v>0.44386435447130601</v>
      </c>
    </row>
    <row r="85" spans="14:35" x14ac:dyDescent="0.25">
      <c r="N85" t="s">
        <v>99</v>
      </c>
      <c r="O85" s="1">
        <v>46163.541666666664</v>
      </c>
      <c r="P85" t="s">
        <v>22</v>
      </c>
      <c r="Q85" t="s">
        <v>23</v>
      </c>
      <c r="R85" t="s">
        <v>29</v>
      </c>
      <c r="S85">
        <v>48</v>
      </c>
      <c r="T85" t="s">
        <v>25</v>
      </c>
      <c r="U85">
        <v>150</v>
      </c>
      <c r="V85">
        <v>65</v>
      </c>
      <c r="W85">
        <v>1.8</v>
      </c>
      <c r="X85" t="s">
        <v>26</v>
      </c>
      <c r="Y85">
        <v>4.5</v>
      </c>
      <c r="Z85">
        <v>0.05</v>
      </c>
      <c r="AA85">
        <v>0.1</v>
      </c>
      <c r="AB85">
        <v>7200</v>
      </c>
      <c r="AC85">
        <v>6480</v>
      </c>
      <c r="AD85">
        <v>86.4</v>
      </c>
      <c r="AE85">
        <v>324</v>
      </c>
      <c r="AF85">
        <v>324</v>
      </c>
      <c r="AG85">
        <v>3120</v>
      </c>
      <c r="AH85">
        <v>2712</v>
      </c>
      <c r="AI85" s="5">
        <v>0.41851851851851801</v>
      </c>
    </row>
    <row r="86" spans="14:35" x14ac:dyDescent="0.25">
      <c r="N86" t="s">
        <v>100</v>
      </c>
      <c r="O86" s="1">
        <v>46163.625</v>
      </c>
      <c r="P86" t="s">
        <v>22</v>
      </c>
      <c r="Q86" t="s">
        <v>23</v>
      </c>
      <c r="R86" t="s">
        <v>32</v>
      </c>
      <c r="S86">
        <v>21</v>
      </c>
      <c r="T86" t="s">
        <v>25</v>
      </c>
      <c r="U86">
        <v>150</v>
      </c>
      <c r="V86">
        <v>65</v>
      </c>
      <c r="W86">
        <v>1.8</v>
      </c>
      <c r="X86" t="s">
        <v>26</v>
      </c>
      <c r="Y86">
        <v>4.5</v>
      </c>
      <c r="Z86">
        <v>0.05</v>
      </c>
      <c r="AA86">
        <v>0.05</v>
      </c>
      <c r="AB86">
        <v>3150</v>
      </c>
      <c r="AC86">
        <v>2992</v>
      </c>
      <c r="AD86">
        <v>37.800000000000004</v>
      </c>
      <c r="AE86">
        <v>149.6</v>
      </c>
      <c r="AF86">
        <v>150</v>
      </c>
      <c r="AG86">
        <v>1365</v>
      </c>
      <c r="AH86">
        <v>1327.4</v>
      </c>
      <c r="AI86" s="5">
        <v>0.44364973262032098</v>
      </c>
    </row>
    <row r="87" spans="14:35" x14ac:dyDescent="0.25">
      <c r="N87" t="s">
        <v>101</v>
      </c>
      <c r="O87" s="1">
        <v>46163.916666666664</v>
      </c>
      <c r="P87" t="s">
        <v>22</v>
      </c>
      <c r="Q87" t="s">
        <v>23</v>
      </c>
      <c r="R87" t="s">
        <v>32</v>
      </c>
      <c r="S87">
        <v>138</v>
      </c>
      <c r="T87" t="s">
        <v>25</v>
      </c>
      <c r="U87">
        <v>150</v>
      </c>
      <c r="V87">
        <v>65</v>
      </c>
      <c r="W87">
        <v>1.8</v>
      </c>
      <c r="X87" t="s">
        <v>26</v>
      </c>
      <c r="Y87">
        <v>4.5</v>
      </c>
      <c r="Z87">
        <v>0.05</v>
      </c>
      <c r="AA87">
        <v>0.05</v>
      </c>
      <c r="AB87">
        <v>20700</v>
      </c>
      <c r="AC87">
        <v>19665</v>
      </c>
      <c r="AD87">
        <v>248.4</v>
      </c>
      <c r="AE87">
        <v>983.25</v>
      </c>
      <c r="AF87">
        <v>983</v>
      </c>
      <c r="AG87">
        <v>8970</v>
      </c>
      <c r="AH87">
        <v>8728.75</v>
      </c>
      <c r="AI87" s="5">
        <v>0.44387236206458203</v>
      </c>
    </row>
    <row r="88" spans="14:35" x14ac:dyDescent="0.25">
      <c r="N88" t="s">
        <v>102</v>
      </c>
      <c r="O88" s="1">
        <v>46164.083333333336</v>
      </c>
      <c r="P88" t="s">
        <v>22</v>
      </c>
      <c r="Q88" t="s">
        <v>23</v>
      </c>
      <c r="R88" t="s">
        <v>32</v>
      </c>
      <c r="S88">
        <v>55</v>
      </c>
      <c r="T88" t="s">
        <v>25</v>
      </c>
      <c r="U88">
        <v>150</v>
      </c>
      <c r="V88">
        <v>65</v>
      </c>
      <c r="W88">
        <v>1.8</v>
      </c>
      <c r="X88" t="s">
        <v>26</v>
      </c>
      <c r="Y88">
        <v>4.5</v>
      </c>
      <c r="Z88">
        <v>0.05</v>
      </c>
      <c r="AA88">
        <v>0.05</v>
      </c>
      <c r="AB88">
        <v>8250</v>
      </c>
      <c r="AC88">
        <v>7838</v>
      </c>
      <c r="AD88">
        <v>99</v>
      </c>
      <c r="AE88">
        <v>391.90000000000003</v>
      </c>
      <c r="AF88">
        <v>392</v>
      </c>
      <c r="AG88">
        <v>3575</v>
      </c>
      <c r="AH88">
        <v>3479.1000000000004</v>
      </c>
      <c r="AI88" s="5">
        <v>0.443875988772646</v>
      </c>
    </row>
    <row r="89" spans="14:35" x14ac:dyDescent="0.25">
      <c r="N89" t="s">
        <v>103</v>
      </c>
      <c r="O89" s="1">
        <v>46164.166666666664</v>
      </c>
      <c r="P89" t="s">
        <v>22</v>
      </c>
      <c r="Q89" t="s">
        <v>23</v>
      </c>
      <c r="R89" t="s">
        <v>29</v>
      </c>
      <c r="S89">
        <v>109</v>
      </c>
      <c r="T89" t="s">
        <v>25</v>
      </c>
      <c r="U89">
        <v>150</v>
      </c>
      <c r="V89">
        <v>65</v>
      </c>
      <c r="W89">
        <v>1.8</v>
      </c>
      <c r="X89" t="s">
        <v>26</v>
      </c>
      <c r="Y89">
        <v>4.5</v>
      </c>
      <c r="Z89">
        <v>0.05</v>
      </c>
      <c r="AA89">
        <v>0.1</v>
      </c>
      <c r="AB89">
        <v>16350</v>
      </c>
      <c r="AC89">
        <v>14715</v>
      </c>
      <c r="AD89">
        <v>196.20000000000002</v>
      </c>
      <c r="AE89">
        <v>735.75</v>
      </c>
      <c r="AF89">
        <v>736</v>
      </c>
      <c r="AG89">
        <v>7085</v>
      </c>
      <c r="AH89">
        <v>6158.25</v>
      </c>
      <c r="AI89" s="5">
        <v>0.41850152905198801</v>
      </c>
    </row>
    <row r="90" spans="14:35" x14ac:dyDescent="0.25">
      <c r="N90" t="s">
        <v>104</v>
      </c>
      <c r="O90" s="1">
        <v>46166.416666666664</v>
      </c>
      <c r="P90" t="s">
        <v>22</v>
      </c>
      <c r="Q90" t="s">
        <v>23</v>
      </c>
      <c r="R90" t="s">
        <v>29</v>
      </c>
      <c r="S90">
        <v>120</v>
      </c>
      <c r="T90" t="s">
        <v>25</v>
      </c>
      <c r="U90">
        <v>150</v>
      </c>
      <c r="V90">
        <v>65</v>
      </c>
      <c r="W90">
        <v>1.8</v>
      </c>
      <c r="X90" t="s">
        <v>26</v>
      </c>
      <c r="Y90">
        <v>4.5</v>
      </c>
      <c r="Z90">
        <v>0.05</v>
      </c>
      <c r="AA90">
        <v>0.1</v>
      </c>
      <c r="AB90">
        <v>18000</v>
      </c>
      <c r="AC90">
        <v>16200</v>
      </c>
      <c r="AD90">
        <v>216</v>
      </c>
      <c r="AE90">
        <v>810</v>
      </c>
      <c r="AF90">
        <v>810</v>
      </c>
      <c r="AG90">
        <v>7800</v>
      </c>
      <c r="AH90">
        <v>6780</v>
      </c>
      <c r="AI90" s="5">
        <v>0.41851851851851801</v>
      </c>
    </row>
    <row r="91" spans="14:35" x14ac:dyDescent="0.25">
      <c r="N91" t="s">
        <v>105</v>
      </c>
      <c r="O91" s="1">
        <v>46166.666666666664</v>
      </c>
      <c r="P91" t="s">
        <v>22</v>
      </c>
      <c r="Q91" t="s">
        <v>23</v>
      </c>
      <c r="R91" t="s">
        <v>29</v>
      </c>
      <c r="S91">
        <v>61</v>
      </c>
      <c r="T91" t="s">
        <v>25</v>
      </c>
      <c r="U91">
        <v>150</v>
      </c>
      <c r="V91">
        <v>65</v>
      </c>
      <c r="W91">
        <v>1.8</v>
      </c>
      <c r="X91" t="s">
        <v>26</v>
      </c>
      <c r="Y91">
        <v>4.5</v>
      </c>
      <c r="Z91">
        <v>0.05</v>
      </c>
      <c r="AA91">
        <v>0.1</v>
      </c>
      <c r="AB91">
        <v>9150</v>
      </c>
      <c r="AC91">
        <v>8235</v>
      </c>
      <c r="AD91">
        <v>109.8</v>
      </c>
      <c r="AE91">
        <v>411.75</v>
      </c>
      <c r="AF91">
        <v>412</v>
      </c>
      <c r="AG91">
        <v>3965</v>
      </c>
      <c r="AH91">
        <v>3446.25</v>
      </c>
      <c r="AI91" s="5">
        <v>0.41848816029143898</v>
      </c>
    </row>
    <row r="92" spans="14:35" x14ac:dyDescent="0.25">
      <c r="N92" t="s">
        <v>106</v>
      </c>
      <c r="O92" s="1">
        <v>46166.833333333336</v>
      </c>
      <c r="P92" t="s">
        <v>22</v>
      </c>
      <c r="Q92" t="s">
        <v>23</v>
      </c>
      <c r="R92" t="s">
        <v>32</v>
      </c>
      <c r="S92">
        <v>19</v>
      </c>
      <c r="T92" t="s">
        <v>25</v>
      </c>
      <c r="U92">
        <v>150</v>
      </c>
      <c r="V92">
        <v>65</v>
      </c>
      <c r="W92">
        <v>1.8</v>
      </c>
      <c r="X92" t="s">
        <v>26</v>
      </c>
      <c r="Y92">
        <v>4.5</v>
      </c>
      <c r="Z92">
        <v>0.05</v>
      </c>
      <c r="AA92">
        <v>0.05</v>
      </c>
      <c r="AB92">
        <v>2850</v>
      </c>
      <c r="AC92">
        <v>2708</v>
      </c>
      <c r="AD92">
        <v>34.200000000000003</v>
      </c>
      <c r="AE92">
        <v>135.4</v>
      </c>
      <c r="AF92">
        <v>135</v>
      </c>
      <c r="AG92">
        <v>1235</v>
      </c>
      <c r="AH92">
        <v>1202.5999999999999</v>
      </c>
      <c r="AI92" s="5">
        <v>0.44409158050221598</v>
      </c>
    </row>
    <row r="93" spans="14:35" x14ac:dyDescent="0.25">
      <c r="N93" t="s">
        <v>107</v>
      </c>
      <c r="O93" s="1">
        <v>46166.916666666664</v>
      </c>
      <c r="P93" t="s">
        <v>22</v>
      </c>
      <c r="Q93" t="s">
        <v>23</v>
      </c>
      <c r="R93" t="s">
        <v>32</v>
      </c>
      <c r="S93">
        <v>64</v>
      </c>
      <c r="T93" t="s">
        <v>25</v>
      </c>
      <c r="U93">
        <v>150</v>
      </c>
      <c r="V93">
        <v>65</v>
      </c>
      <c r="W93">
        <v>1.8</v>
      </c>
      <c r="X93" t="s">
        <v>26</v>
      </c>
      <c r="Y93">
        <v>4.5</v>
      </c>
      <c r="Z93">
        <v>0.05</v>
      </c>
      <c r="AA93">
        <v>0.05</v>
      </c>
      <c r="AB93">
        <v>9600</v>
      </c>
      <c r="AC93">
        <v>9120</v>
      </c>
      <c r="AD93">
        <v>115.2</v>
      </c>
      <c r="AE93">
        <v>456</v>
      </c>
      <c r="AF93">
        <v>456</v>
      </c>
      <c r="AG93">
        <v>4160</v>
      </c>
      <c r="AH93">
        <v>4048</v>
      </c>
      <c r="AI93" s="5">
        <v>0.44385964912280701</v>
      </c>
    </row>
    <row r="94" spans="14:35" x14ac:dyDescent="0.25">
      <c r="N94" t="s">
        <v>108</v>
      </c>
      <c r="O94" s="1">
        <v>46167.166666666664</v>
      </c>
      <c r="P94" t="s">
        <v>22</v>
      </c>
      <c r="Q94" t="s">
        <v>23</v>
      </c>
      <c r="R94" t="s">
        <v>32</v>
      </c>
      <c r="S94">
        <v>48</v>
      </c>
      <c r="T94" t="s">
        <v>25</v>
      </c>
      <c r="U94">
        <v>150</v>
      </c>
      <c r="V94">
        <v>65</v>
      </c>
      <c r="W94">
        <v>1.8</v>
      </c>
      <c r="X94" t="s">
        <v>26</v>
      </c>
      <c r="Y94">
        <v>4.5</v>
      </c>
      <c r="Z94">
        <v>0.05</v>
      </c>
      <c r="AA94">
        <v>0.05</v>
      </c>
      <c r="AB94">
        <v>7200</v>
      </c>
      <c r="AC94">
        <v>6840</v>
      </c>
      <c r="AD94">
        <v>86.4</v>
      </c>
      <c r="AE94">
        <v>342</v>
      </c>
      <c r="AF94">
        <v>342</v>
      </c>
      <c r="AG94">
        <v>3120</v>
      </c>
      <c r="AH94">
        <v>3036</v>
      </c>
      <c r="AI94" s="5">
        <v>0.44385964912280701</v>
      </c>
    </row>
    <row r="95" spans="14:35" x14ac:dyDescent="0.25">
      <c r="N95" t="s">
        <v>109</v>
      </c>
      <c r="O95" s="1">
        <v>46168.291666666664</v>
      </c>
      <c r="P95" t="s">
        <v>22</v>
      </c>
      <c r="Q95" t="s">
        <v>23</v>
      </c>
      <c r="R95" t="s">
        <v>32</v>
      </c>
      <c r="S95">
        <v>23</v>
      </c>
      <c r="T95" t="s">
        <v>25</v>
      </c>
      <c r="U95">
        <v>150</v>
      </c>
      <c r="V95">
        <v>65</v>
      </c>
      <c r="W95">
        <v>1.8</v>
      </c>
      <c r="X95" t="s">
        <v>26</v>
      </c>
      <c r="Y95">
        <v>4.5</v>
      </c>
      <c r="Z95">
        <v>0.05</v>
      </c>
      <c r="AA95">
        <v>0.05</v>
      </c>
      <c r="AB95">
        <v>3450</v>
      </c>
      <c r="AC95">
        <v>3278</v>
      </c>
      <c r="AD95">
        <v>41.4</v>
      </c>
      <c r="AE95">
        <v>163.9</v>
      </c>
      <c r="AF95">
        <v>164</v>
      </c>
      <c r="AG95">
        <v>1495</v>
      </c>
      <c r="AH95">
        <v>1455.1</v>
      </c>
      <c r="AI95" s="5">
        <v>0.44389871873093301</v>
      </c>
    </row>
    <row r="96" spans="14:35" x14ac:dyDescent="0.25">
      <c r="N96" t="s">
        <v>110</v>
      </c>
      <c r="O96" s="1">
        <v>46168.583333333336</v>
      </c>
      <c r="P96" t="s">
        <v>22</v>
      </c>
      <c r="Q96" t="s">
        <v>23</v>
      </c>
      <c r="R96" t="s">
        <v>32</v>
      </c>
      <c r="S96">
        <v>55</v>
      </c>
      <c r="T96" t="s">
        <v>25</v>
      </c>
      <c r="U96">
        <v>150</v>
      </c>
      <c r="V96">
        <v>65</v>
      </c>
      <c r="W96">
        <v>1.8</v>
      </c>
      <c r="X96" t="s">
        <v>26</v>
      </c>
      <c r="Y96">
        <v>4.5</v>
      </c>
      <c r="Z96">
        <v>0.05</v>
      </c>
      <c r="AA96">
        <v>0.05</v>
      </c>
      <c r="AB96">
        <v>8250</v>
      </c>
      <c r="AC96">
        <v>7838</v>
      </c>
      <c r="AD96">
        <v>99</v>
      </c>
      <c r="AE96">
        <v>391.90000000000003</v>
      </c>
      <c r="AF96">
        <v>392</v>
      </c>
      <c r="AG96">
        <v>3575</v>
      </c>
      <c r="AH96">
        <v>3479.1000000000004</v>
      </c>
      <c r="AI96" s="5">
        <v>0.443875988772646</v>
      </c>
    </row>
    <row r="97" spans="14:35" x14ac:dyDescent="0.25">
      <c r="N97" t="s">
        <v>111</v>
      </c>
      <c r="O97" s="1">
        <v>46168.958333333336</v>
      </c>
      <c r="P97" t="s">
        <v>22</v>
      </c>
      <c r="Q97" t="s">
        <v>23</v>
      </c>
      <c r="R97" t="s">
        <v>24</v>
      </c>
      <c r="S97">
        <v>66</v>
      </c>
      <c r="T97" t="s">
        <v>25</v>
      </c>
      <c r="U97">
        <v>150</v>
      </c>
      <c r="V97">
        <v>65</v>
      </c>
      <c r="W97">
        <v>1.8</v>
      </c>
      <c r="X97" t="s">
        <v>26</v>
      </c>
      <c r="Y97">
        <v>4.5</v>
      </c>
      <c r="Z97">
        <v>0.05</v>
      </c>
      <c r="AA97">
        <v>0.02</v>
      </c>
      <c r="AB97">
        <v>9900</v>
      </c>
      <c r="AC97">
        <v>9702</v>
      </c>
      <c r="AD97">
        <v>118.8</v>
      </c>
      <c r="AE97">
        <v>485.1</v>
      </c>
      <c r="AF97">
        <v>485</v>
      </c>
      <c r="AG97">
        <v>4290</v>
      </c>
      <c r="AH97">
        <v>4441.8999999999996</v>
      </c>
      <c r="AI97" s="5">
        <v>0.45783343640486501</v>
      </c>
    </row>
    <row r="98" spans="14:35" x14ac:dyDescent="0.25">
      <c r="N98" t="s">
        <v>112</v>
      </c>
      <c r="O98" s="1">
        <v>46169.125</v>
      </c>
      <c r="P98" t="s">
        <v>22</v>
      </c>
      <c r="Q98" t="s">
        <v>23</v>
      </c>
      <c r="R98" t="s">
        <v>24</v>
      </c>
      <c r="S98">
        <v>100</v>
      </c>
      <c r="T98" t="s">
        <v>25</v>
      </c>
      <c r="U98">
        <v>150</v>
      </c>
      <c r="V98">
        <v>65</v>
      </c>
      <c r="W98">
        <v>1.8</v>
      </c>
      <c r="X98" t="s">
        <v>26</v>
      </c>
      <c r="Y98">
        <v>4.5</v>
      </c>
      <c r="Z98">
        <v>0.05</v>
      </c>
      <c r="AA98">
        <v>0.02</v>
      </c>
      <c r="AB98">
        <v>15000</v>
      </c>
      <c r="AC98">
        <v>14700</v>
      </c>
      <c r="AD98">
        <v>180</v>
      </c>
      <c r="AE98">
        <v>735</v>
      </c>
      <c r="AF98">
        <v>735</v>
      </c>
      <c r="AG98">
        <v>6500</v>
      </c>
      <c r="AH98">
        <v>6730</v>
      </c>
      <c r="AI98" s="5">
        <v>0.45782312925170099</v>
      </c>
    </row>
    <row r="99" spans="14:35" x14ac:dyDescent="0.25">
      <c r="N99" t="s">
        <v>113</v>
      </c>
      <c r="O99" s="1">
        <v>46169.708333333336</v>
      </c>
      <c r="P99" t="s">
        <v>22</v>
      </c>
      <c r="Q99" t="s">
        <v>23</v>
      </c>
      <c r="R99" t="s">
        <v>29</v>
      </c>
      <c r="S99">
        <v>39</v>
      </c>
      <c r="T99" t="s">
        <v>25</v>
      </c>
      <c r="U99">
        <v>150</v>
      </c>
      <c r="V99">
        <v>65</v>
      </c>
      <c r="W99">
        <v>1.8</v>
      </c>
      <c r="X99" t="s">
        <v>26</v>
      </c>
      <c r="Y99">
        <v>4.5</v>
      </c>
      <c r="Z99">
        <v>0.05</v>
      </c>
      <c r="AA99">
        <v>0.1</v>
      </c>
      <c r="AB99">
        <v>5850</v>
      </c>
      <c r="AC99">
        <v>5265</v>
      </c>
      <c r="AD99">
        <v>70.2</v>
      </c>
      <c r="AE99">
        <v>263.25</v>
      </c>
      <c r="AF99">
        <v>263</v>
      </c>
      <c r="AG99">
        <v>2535</v>
      </c>
      <c r="AH99">
        <v>2203.75</v>
      </c>
      <c r="AI99" s="5">
        <v>0.41856600189933502</v>
      </c>
    </row>
    <row r="100" spans="14:35" x14ac:dyDescent="0.25">
      <c r="N100" t="s">
        <v>114</v>
      </c>
      <c r="O100" s="1">
        <v>46170.125</v>
      </c>
      <c r="P100" t="s">
        <v>22</v>
      </c>
      <c r="Q100" t="s">
        <v>23</v>
      </c>
      <c r="R100" t="s">
        <v>29</v>
      </c>
      <c r="S100">
        <v>108</v>
      </c>
      <c r="T100" t="s">
        <v>25</v>
      </c>
      <c r="U100">
        <v>150</v>
      </c>
      <c r="V100">
        <v>65</v>
      </c>
      <c r="W100">
        <v>1.8</v>
      </c>
      <c r="X100" t="s">
        <v>26</v>
      </c>
      <c r="Y100">
        <v>4.5</v>
      </c>
      <c r="Z100">
        <v>0.05</v>
      </c>
      <c r="AA100">
        <v>0.1</v>
      </c>
      <c r="AB100">
        <v>16200</v>
      </c>
      <c r="AC100">
        <v>14580</v>
      </c>
      <c r="AD100">
        <v>194.4</v>
      </c>
      <c r="AE100">
        <v>729</v>
      </c>
      <c r="AF100">
        <v>729</v>
      </c>
      <c r="AG100">
        <v>7020</v>
      </c>
      <c r="AH100">
        <v>6102</v>
      </c>
      <c r="AI100" s="5">
        <v>0.41851851851851801</v>
      </c>
    </row>
    <row r="101" spans="14:35" x14ac:dyDescent="0.25">
      <c r="N101" t="s">
        <v>115</v>
      </c>
      <c r="O101" s="1">
        <v>46170.166666666664</v>
      </c>
      <c r="P101" t="s">
        <v>22</v>
      </c>
      <c r="Q101" t="s">
        <v>23</v>
      </c>
      <c r="R101" t="s">
        <v>24</v>
      </c>
      <c r="S101">
        <v>103</v>
      </c>
      <c r="T101" t="s">
        <v>25</v>
      </c>
      <c r="U101">
        <v>150</v>
      </c>
      <c r="V101">
        <v>65</v>
      </c>
      <c r="W101">
        <v>1.8</v>
      </c>
      <c r="X101" t="s">
        <v>26</v>
      </c>
      <c r="Y101">
        <v>4.5</v>
      </c>
      <c r="Z101">
        <v>0.05</v>
      </c>
      <c r="AA101">
        <v>0.02</v>
      </c>
      <c r="AB101">
        <v>15450</v>
      </c>
      <c r="AC101">
        <v>15141</v>
      </c>
      <c r="AD101">
        <v>185.4</v>
      </c>
      <c r="AE101">
        <v>757.05000000000007</v>
      </c>
      <c r="AF101">
        <v>757</v>
      </c>
      <c r="AG101">
        <v>6695</v>
      </c>
      <c r="AH101">
        <v>6931.9500000000007</v>
      </c>
      <c r="AI101" s="5">
        <v>0.45782643154349101</v>
      </c>
    </row>
    <row r="102" spans="14:35" x14ac:dyDescent="0.25">
      <c r="N102" t="s">
        <v>116</v>
      </c>
      <c r="O102" s="1">
        <v>46170.208333333336</v>
      </c>
      <c r="P102" t="s">
        <v>22</v>
      </c>
      <c r="Q102" t="s">
        <v>23</v>
      </c>
      <c r="R102" t="s">
        <v>24</v>
      </c>
      <c r="S102">
        <v>21</v>
      </c>
      <c r="T102" t="s">
        <v>25</v>
      </c>
      <c r="U102">
        <v>150</v>
      </c>
      <c r="V102">
        <v>65</v>
      </c>
      <c r="W102">
        <v>1.8</v>
      </c>
      <c r="X102" t="s">
        <v>26</v>
      </c>
      <c r="Y102">
        <v>4.5</v>
      </c>
      <c r="Z102">
        <v>0.05</v>
      </c>
      <c r="AA102">
        <v>0.02</v>
      </c>
      <c r="AB102">
        <v>3150</v>
      </c>
      <c r="AC102">
        <v>3087</v>
      </c>
      <c r="AD102">
        <v>37.800000000000004</v>
      </c>
      <c r="AE102">
        <v>154.35000000000002</v>
      </c>
      <c r="AF102">
        <v>154</v>
      </c>
      <c r="AG102">
        <v>1365</v>
      </c>
      <c r="AH102">
        <v>1413.65</v>
      </c>
      <c r="AI102" s="5">
        <v>0.45793650793650797</v>
      </c>
    </row>
    <row r="103" spans="14:35" x14ac:dyDescent="0.25">
      <c r="N103" t="s">
        <v>117</v>
      </c>
      <c r="O103" s="1">
        <v>46170.25</v>
      </c>
      <c r="P103" t="s">
        <v>22</v>
      </c>
      <c r="Q103" t="s">
        <v>23</v>
      </c>
      <c r="R103" t="s">
        <v>32</v>
      </c>
      <c r="S103">
        <v>154</v>
      </c>
      <c r="T103" t="s">
        <v>25</v>
      </c>
      <c r="U103">
        <v>150</v>
      </c>
      <c r="V103">
        <v>65</v>
      </c>
      <c r="W103">
        <v>1.8</v>
      </c>
      <c r="X103" t="s">
        <v>26</v>
      </c>
      <c r="Y103">
        <v>4.5</v>
      </c>
      <c r="Z103">
        <v>0.05</v>
      </c>
      <c r="AA103">
        <v>0.05</v>
      </c>
      <c r="AB103">
        <v>23100</v>
      </c>
      <c r="AC103">
        <v>21945</v>
      </c>
      <c r="AD103">
        <v>277.2</v>
      </c>
      <c r="AE103">
        <v>1097.25</v>
      </c>
      <c r="AF103">
        <v>1097</v>
      </c>
      <c r="AG103">
        <v>10010</v>
      </c>
      <c r="AH103">
        <v>9740.75</v>
      </c>
      <c r="AI103" s="5">
        <v>0.44387104123946203</v>
      </c>
    </row>
    <row r="104" spans="14:35" x14ac:dyDescent="0.25">
      <c r="N104" t="s">
        <v>118</v>
      </c>
      <c r="O104" s="1">
        <v>46170.291666666664</v>
      </c>
      <c r="P104" t="s">
        <v>22</v>
      </c>
      <c r="Q104" t="s">
        <v>23</v>
      </c>
      <c r="R104" t="s">
        <v>29</v>
      </c>
      <c r="S104">
        <v>13</v>
      </c>
      <c r="T104" t="s">
        <v>25</v>
      </c>
      <c r="U104">
        <v>150</v>
      </c>
      <c r="V104">
        <v>65</v>
      </c>
      <c r="W104">
        <v>1.8</v>
      </c>
      <c r="X104" t="s">
        <v>26</v>
      </c>
      <c r="Y104">
        <v>4.5</v>
      </c>
      <c r="Z104">
        <v>0.05</v>
      </c>
      <c r="AA104">
        <v>0.1</v>
      </c>
      <c r="AB104">
        <v>1950</v>
      </c>
      <c r="AC104">
        <v>1755</v>
      </c>
      <c r="AD104">
        <v>23.400000000000002</v>
      </c>
      <c r="AE104">
        <v>87.75</v>
      </c>
      <c r="AF104">
        <v>88</v>
      </c>
      <c r="AG104">
        <v>845</v>
      </c>
      <c r="AH104">
        <v>734.25</v>
      </c>
      <c r="AI104" s="5">
        <v>0.418376068376068</v>
      </c>
    </row>
    <row r="105" spans="14:35" x14ac:dyDescent="0.25">
      <c r="N105" t="s">
        <v>119</v>
      </c>
      <c r="O105" s="1">
        <v>46170.416666666664</v>
      </c>
      <c r="P105" t="s">
        <v>22</v>
      </c>
      <c r="Q105" t="s">
        <v>23</v>
      </c>
      <c r="R105" t="s">
        <v>24</v>
      </c>
      <c r="S105">
        <v>128</v>
      </c>
      <c r="T105" t="s">
        <v>25</v>
      </c>
      <c r="U105">
        <v>150</v>
      </c>
      <c r="V105">
        <v>65</v>
      </c>
      <c r="W105">
        <v>1.8</v>
      </c>
      <c r="X105" t="s">
        <v>26</v>
      </c>
      <c r="Y105">
        <v>4.5</v>
      </c>
      <c r="Z105">
        <v>0.05</v>
      </c>
      <c r="AA105">
        <v>0.02</v>
      </c>
      <c r="AB105">
        <v>19200</v>
      </c>
      <c r="AC105">
        <v>18816</v>
      </c>
      <c r="AD105">
        <v>230.4</v>
      </c>
      <c r="AE105">
        <v>940.80000000000007</v>
      </c>
      <c r="AF105">
        <v>941</v>
      </c>
      <c r="AG105">
        <v>8320</v>
      </c>
      <c r="AH105">
        <v>8614.2000000000007</v>
      </c>
      <c r="AI105" s="5">
        <v>0.45781250000000001</v>
      </c>
    </row>
    <row r="106" spans="14:35" x14ac:dyDescent="0.25">
      <c r="N106" t="s">
        <v>120</v>
      </c>
      <c r="O106" s="1">
        <v>46170.5</v>
      </c>
      <c r="P106" t="s">
        <v>22</v>
      </c>
      <c r="Q106" t="s">
        <v>23</v>
      </c>
      <c r="R106" t="s">
        <v>32</v>
      </c>
      <c r="S106">
        <v>84</v>
      </c>
      <c r="T106" t="s">
        <v>25</v>
      </c>
      <c r="U106">
        <v>150</v>
      </c>
      <c r="V106">
        <v>65</v>
      </c>
      <c r="W106">
        <v>1.8</v>
      </c>
      <c r="X106" t="s">
        <v>26</v>
      </c>
      <c r="Y106">
        <v>4.5</v>
      </c>
      <c r="Z106">
        <v>0.05</v>
      </c>
      <c r="AA106">
        <v>0.05</v>
      </c>
      <c r="AB106">
        <v>12600</v>
      </c>
      <c r="AC106">
        <v>11970</v>
      </c>
      <c r="AD106">
        <v>151.20000000000002</v>
      </c>
      <c r="AE106">
        <v>598.5</v>
      </c>
      <c r="AF106">
        <v>598</v>
      </c>
      <c r="AG106">
        <v>5460</v>
      </c>
      <c r="AH106">
        <v>5313.5</v>
      </c>
      <c r="AI106" s="5">
        <v>0.44390142021721002</v>
      </c>
    </row>
    <row r="107" spans="14:35" x14ac:dyDescent="0.25">
      <c r="N107" t="s">
        <v>121</v>
      </c>
      <c r="O107" s="1">
        <v>46170.708333333336</v>
      </c>
      <c r="P107" t="s">
        <v>22</v>
      </c>
      <c r="Q107" t="s">
        <v>23</v>
      </c>
      <c r="R107" t="s">
        <v>32</v>
      </c>
      <c r="S107">
        <v>33</v>
      </c>
      <c r="T107" t="s">
        <v>25</v>
      </c>
      <c r="U107">
        <v>150</v>
      </c>
      <c r="V107">
        <v>65</v>
      </c>
      <c r="W107">
        <v>1.8</v>
      </c>
      <c r="X107" t="s">
        <v>26</v>
      </c>
      <c r="Y107">
        <v>4.5</v>
      </c>
      <c r="Z107">
        <v>0.05</v>
      </c>
      <c r="AA107">
        <v>0.05</v>
      </c>
      <c r="AB107">
        <v>4950</v>
      </c>
      <c r="AC107">
        <v>4702</v>
      </c>
      <c r="AD107">
        <v>59.4</v>
      </c>
      <c r="AE107">
        <v>235.10000000000002</v>
      </c>
      <c r="AF107">
        <v>235</v>
      </c>
      <c r="AG107">
        <v>2145</v>
      </c>
      <c r="AH107">
        <v>2086.9</v>
      </c>
      <c r="AI107" s="5">
        <v>0.44383241173968502</v>
      </c>
    </row>
    <row r="108" spans="14:35" x14ac:dyDescent="0.25">
      <c r="N108" t="s">
        <v>122</v>
      </c>
      <c r="O108" s="1">
        <v>46171.875</v>
      </c>
      <c r="P108" t="s">
        <v>22</v>
      </c>
      <c r="Q108" t="s">
        <v>23</v>
      </c>
      <c r="R108" t="s">
        <v>32</v>
      </c>
      <c r="S108">
        <v>35</v>
      </c>
      <c r="T108" t="s">
        <v>25</v>
      </c>
      <c r="U108">
        <v>150</v>
      </c>
      <c r="V108">
        <v>65</v>
      </c>
      <c r="W108">
        <v>1.8</v>
      </c>
      <c r="X108" t="s">
        <v>26</v>
      </c>
      <c r="Y108">
        <v>4.5</v>
      </c>
      <c r="Z108">
        <v>0.05</v>
      </c>
      <c r="AA108">
        <v>0.05</v>
      </c>
      <c r="AB108">
        <v>5250</v>
      </c>
      <c r="AC108">
        <v>4988</v>
      </c>
      <c r="AD108">
        <v>63</v>
      </c>
      <c r="AE108">
        <v>249.4</v>
      </c>
      <c r="AF108">
        <v>249</v>
      </c>
      <c r="AG108">
        <v>2275</v>
      </c>
      <c r="AH108">
        <v>2214.6</v>
      </c>
      <c r="AI108" s="5">
        <v>0.44398556535685602</v>
      </c>
    </row>
    <row r="109" spans="14:35" x14ac:dyDescent="0.25">
      <c r="N109" t="s">
        <v>123</v>
      </c>
      <c r="O109" s="1">
        <v>46172.333333333336</v>
      </c>
      <c r="P109" t="s">
        <v>22</v>
      </c>
      <c r="Q109" t="s">
        <v>23</v>
      </c>
      <c r="R109" t="s">
        <v>29</v>
      </c>
      <c r="S109">
        <v>88</v>
      </c>
      <c r="T109" t="s">
        <v>25</v>
      </c>
      <c r="U109">
        <v>150</v>
      </c>
      <c r="V109">
        <v>65</v>
      </c>
      <c r="W109">
        <v>1.8</v>
      </c>
      <c r="X109" t="s">
        <v>26</v>
      </c>
      <c r="Y109">
        <v>4.5</v>
      </c>
      <c r="Z109">
        <v>0.05</v>
      </c>
      <c r="AA109">
        <v>0.1</v>
      </c>
      <c r="AB109">
        <v>13200</v>
      </c>
      <c r="AC109">
        <v>11880</v>
      </c>
      <c r="AD109">
        <v>158.4</v>
      </c>
      <c r="AE109">
        <v>594</v>
      </c>
      <c r="AF109">
        <v>594</v>
      </c>
      <c r="AG109">
        <v>5720</v>
      </c>
      <c r="AH109">
        <v>4972</v>
      </c>
      <c r="AI109" s="5">
        <v>0.41851851851851801</v>
      </c>
    </row>
    <row r="110" spans="14:35" x14ac:dyDescent="0.25">
      <c r="N110" t="s">
        <v>124</v>
      </c>
      <c r="O110" s="1">
        <v>46172.458333333336</v>
      </c>
      <c r="P110" t="s">
        <v>22</v>
      </c>
      <c r="Q110" t="s">
        <v>23</v>
      </c>
      <c r="R110" t="s">
        <v>32</v>
      </c>
      <c r="S110">
        <v>165</v>
      </c>
      <c r="T110" t="s">
        <v>25</v>
      </c>
      <c r="U110">
        <v>150</v>
      </c>
      <c r="V110">
        <v>65</v>
      </c>
      <c r="W110">
        <v>1.8</v>
      </c>
      <c r="X110" t="s">
        <v>26</v>
      </c>
      <c r="Y110">
        <v>4.5</v>
      </c>
      <c r="Z110">
        <v>0.05</v>
      </c>
      <c r="AA110">
        <v>0.05</v>
      </c>
      <c r="AB110">
        <v>24750</v>
      </c>
      <c r="AC110">
        <v>23512</v>
      </c>
      <c r="AD110">
        <v>297</v>
      </c>
      <c r="AE110">
        <v>1175.6000000000001</v>
      </c>
      <c r="AF110">
        <v>1176</v>
      </c>
      <c r="AG110">
        <v>10725</v>
      </c>
      <c r="AH110">
        <v>10435.4</v>
      </c>
      <c r="AI110" s="5">
        <v>0.44383293637291599</v>
      </c>
    </row>
    <row r="111" spans="14:35" x14ac:dyDescent="0.25">
      <c r="N111" t="s">
        <v>125</v>
      </c>
      <c r="O111" s="1">
        <v>46172.916666666664</v>
      </c>
      <c r="P111" t="s">
        <v>22</v>
      </c>
      <c r="Q111" t="s">
        <v>23</v>
      </c>
      <c r="R111" t="s">
        <v>24</v>
      </c>
      <c r="S111">
        <v>86</v>
      </c>
      <c r="T111" t="s">
        <v>25</v>
      </c>
      <c r="U111">
        <v>150</v>
      </c>
      <c r="V111">
        <v>65</v>
      </c>
      <c r="W111">
        <v>1.8</v>
      </c>
      <c r="X111" t="s">
        <v>26</v>
      </c>
      <c r="Y111">
        <v>4.5</v>
      </c>
      <c r="Z111">
        <v>0.05</v>
      </c>
      <c r="AA111">
        <v>0.02</v>
      </c>
      <c r="AB111">
        <v>12900</v>
      </c>
      <c r="AC111">
        <v>12642</v>
      </c>
      <c r="AD111">
        <v>154.80000000000001</v>
      </c>
      <c r="AE111">
        <v>632.1</v>
      </c>
      <c r="AF111">
        <v>632</v>
      </c>
      <c r="AG111">
        <v>5590</v>
      </c>
      <c r="AH111">
        <v>5787.9</v>
      </c>
      <c r="AI111" s="5">
        <v>0.45783103939250103</v>
      </c>
    </row>
    <row r="112" spans="14:35" x14ac:dyDescent="0.25">
      <c r="N112" t="s">
        <v>126</v>
      </c>
      <c r="O112" s="1">
        <v>46173.708333333336</v>
      </c>
      <c r="P112" t="s">
        <v>22</v>
      </c>
      <c r="Q112" t="s">
        <v>23</v>
      </c>
      <c r="R112" t="s">
        <v>24</v>
      </c>
      <c r="S112">
        <v>131</v>
      </c>
      <c r="T112" t="s">
        <v>25</v>
      </c>
      <c r="U112">
        <v>150</v>
      </c>
      <c r="V112">
        <v>65</v>
      </c>
      <c r="W112">
        <v>1.8</v>
      </c>
      <c r="X112" t="s">
        <v>26</v>
      </c>
      <c r="Y112">
        <v>4.5</v>
      </c>
      <c r="Z112">
        <v>0.05</v>
      </c>
      <c r="AA112">
        <v>0.02</v>
      </c>
      <c r="AB112">
        <v>19650</v>
      </c>
      <c r="AC112">
        <v>19257</v>
      </c>
      <c r="AD112">
        <v>235.8</v>
      </c>
      <c r="AE112">
        <v>962.85</v>
      </c>
      <c r="AF112">
        <v>963</v>
      </c>
      <c r="AG112">
        <v>8515</v>
      </c>
      <c r="AH112">
        <v>8816.15</v>
      </c>
      <c r="AI112" s="5">
        <v>0.45781533987640899</v>
      </c>
    </row>
    <row r="113" spans="14:35" x14ac:dyDescent="0.25">
      <c r="N113" t="s">
        <v>127</v>
      </c>
      <c r="O113" s="1">
        <v>46174.208333333336</v>
      </c>
      <c r="P113" t="s">
        <v>22</v>
      </c>
      <c r="Q113" t="s">
        <v>23</v>
      </c>
      <c r="R113" t="s">
        <v>32</v>
      </c>
      <c r="S113">
        <v>88</v>
      </c>
      <c r="T113" t="s">
        <v>25</v>
      </c>
      <c r="U113">
        <v>150</v>
      </c>
      <c r="V113">
        <v>65</v>
      </c>
      <c r="W113">
        <v>1.8</v>
      </c>
      <c r="X113" t="s">
        <v>26</v>
      </c>
      <c r="Y113">
        <v>4.5</v>
      </c>
      <c r="Z113">
        <v>0.05</v>
      </c>
      <c r="AA113">
        <v>0.05</v>
      </c>
      <c r="AB113">
        <v>13200</v>
      </c>
      <c r="AC113">
        <v>12540</v>
      </c>
      <c r="AD113">
        <v>158.4</v>
      </c>
      <c r="AE113">
        <v>627</v>
      </c>
      <c r="AF113">
        <v>627</v>
      </c>
      <c r="AG113">
        <v>5720</v>
      </c>
      <c r="AH113">
        <v>5566</v>
      </c>
      <c r="AI113" s="5">
        <v>0.44385964912280701</v>
      </c>
    </row>
    <row r="114" spans="14:35" x14ac:dyDescent="0.25">
      <c r="N114" t="s">
        <v>128</v>
      </c>
      <c r="O114" s="1">
        <v>46174.291666666664</v>
      </c>
      <c r="P114" t="s">
        <v>22</v>
      </c>
      <c r="Q114" t="s">
        <v>23</v>
      </c>
      <c r="R114" t="s">
        <v>24</v>
      </c>
      <c r="S114">
        <v>171</v>
      </c>
      <c r="T114" t="s">
        <v>25</v>
      </c>
      <c r="U114">
        <v>150</v>
      </c>
      <c r="V114">
        <v>65</v>
      </c>
      <c r="W114">
        <v>1.8</v>
      </c>
      <c r="X114" t="s">
        <v>26</v>
      </c>
      <c r="Y114">
        <v>4.5</v>
      </c>
      <c r="Z114">
        <v>0.05</v>
      </c>
      <c r="AA114">
        <v>0.02</v>
      </c>
      <c r="AB114">
        <v>25650</v>
      </c>
      <c r="AC114">
        <v>25137</v>
      </c>
      <c r="AD114">
        <v>307.8</v>
      </c>
      <c r="AE114">
        <v>1256.8500000000001</v>
      </c>
      <c r="AF114">
        <v>1257</v>
      </c>
      <c r="AG114">
        <v>11115</v>
      </c>
      <c r="AH114">
        <v>11508.15</v>
      </c>
      <c r="AI114" s="5">
        <v>0.4578171619525</v>
      </c>
    </row>
    <row r="115" spans="14:35" x14ac:dyDescent="0.25">
      <c r="N115" t="s">
        <v>129</v>
      </c>
      <c r="O115" s="1">
        <v>46175.291666666664</v>
      </c>
      <c r="P115" t="s">
        <v>22</v>
      </c>
      <c r="Q115" t="s">
        <v>23</v>
      </c>
      <c r="R115" t="s">
        <v>32</v>
      </c>
      <c r="S115">
        <v>164</v>
      </c>
      <c r="T115" t="s">
        <v>25</v>
      </c>
      <c r="U115">
        <v>150</v>
      </c>
      <c r="V115">
        <v>65</v>
      </c>
      <c r="W115">
        <v>1.8</v>
      </c>
      <c r="X115" t="s">
        <v>26</v>
      </c>
      <c r="Y115">
        <v>4.5</v>
      </c>
      <c r="Z115">
        <v>0.05</v>
      </c>
      <c r="AA115">
        <v>0.05</v>
      </c>
      <c r="AB115">
        <v>24600</v>
      </c>
      <c r="AC115">
        <v>23370</v>
      </c>
      <c r="AD115">
        <v>295.2</v>
      </c>
      <c r="AE115">
        <v>1168.5</v>
      </c>
      <c r="AF115">
        <v>1168</v>
      </c>
      <c r="AG115">
        <v>10660</v>
      </c>
      <c r="AH115">
        <v>10373.5</v>
      </c>
      <c r="AI115" s="5">
        <v>0.44388104407359902</v>
      </c>
    </row>
    <row r="116" spans="14:35" x14ac:dyDescent="0.25">
      <c r="N116" t="s">
        <v>130</v>
      </c>
      <c r="O116" s="1">
        <v>46175.333333333336</v>
      </c>
      <c r="P116" t="s">
        <v>22</v>
      </c>
      <c r="Q116" t="s">
        <v>23</v>
      </c>
      <c r="R116" t="s">
        <v>24</v>
      </c>
      <c r="S116">
        <v>143</v>
      </c>
      <c r="T116" t="s">
        <v>25</v>
      </c>
      <c r="U116">
        <v>150</v>
      </c>
      <c r="V116">
        <v>65</v>
      </c>
      <c r="W116">
        <v>1.8</v>
      </c>
      <c r="X116" t="s">
        <v>26</v>
      </c>
      <c r="Y116">
        <v>4.5</v>
      </c>
      <c r="Z116">
        <v>0.05</v>
      </c>
      <c r="AA116">
        <v>0.02</v>
      </c>
      <c r="AB116">
        <v>21450</v>
      </c>
      <c r="AC116">
        <v>21021</v>
      </c>
      <c r="AD116">
        <v>257.40000000000003</v>
      </c>
      <c r="AE116">
        <v>1051.05</v>
      </c>
      <c r="AF116">
        <v>1051</v>
      </c>
      <c r="AG116">
        <v>9295</v>
      </c>
      <c r="AH116">
        <v>9623.9500000000007</v>
      </c>
      <c r="AI116" s="5">
        <v>0.45782550782550802</v>
      </c>
    </row>
    <row r="117" spans="14:35" x14ac:dyDescent="0.25">
      <c r="N117" t="s">
        <v>131</v>
      </c>
      <c r="O117" s="1">
        <v>46175.458333333336</v>
      </c>
      <c r="P117" t="s">
        <v>22</v>
      </c>
      <c r="Q117" t="s">
        <v>23</v>
      </c>
      <c r="R117" t="s">
        <v>32</v>
      </c>
      <c r="S117">
        <v>142</v>
      </c>
      <c r="T117" t="s">
        <v>25</v>
      </c>
      <c r="U117">
        <v>150</v>
      </c>
      <c r="V117">
        <v>65</v>
      </c>
      <c r="W117">
        <v>1.8</v>
      </c>
      <c r="X117" t="s">
        <v>26</v>
      </c>
      <c r="Y117">
        <v>4.5</v>
      </c>
      <c r="Z117">
        <v>0.05</v>
      </c>
      <c r="AA117">
        <v>0.05</v>
      </c>
      <c r="AB117">
        <v>21300</v>
      </c>
      <c r="AC117">
        <v>20235</v>
      </c>
      <c r="AD117">
        <v>255.6</v>
      </c>
      <c r="AE117">
        <v>1011.75</v>
      </c>
      <c r="AF117">
        <v>1012</v>
      </c>
      <c r="AG117">
        <v>9230</v>
      </c>
      <c r="AH117">
        <v>8981.25</v>
      </c>
      <c r="AI117" s="5">
        <v>0.44384729429206798</v>
      </c>
    </row>
    <row r="118" spans="14:35" x14ac:dyDescent="0.25">
      <c r="N118" t="s">
        <v>132</v>
      </c>
      <c r="O118" s="1">
        <v>46175.541666666664</v>
      </c>
      <c r="P118" t="s">
        <v>22</v>
      </c>
      <c r="Q118" t="s">
        <v>23</v>
      </c>
      <c r="R118" t="s">
        <v>29</v>
      </c>
      <c r="S118">
        <v>29</v>
      </c>
      <c r="T118" t="s">
        <v>25</v>
      </c>
      <c r="U118">
        <v>150</v>
      </c>
      <c r="V118">
        <v>65</v>
      </c>
      <c r="W118">
        <v>1.8</v>
      </c>
      <c r="X118" t="s">
        <v>26</v>
      </c>
      <c r="Y118">
        <v>4.5</v>
      </c>
      <c r="Z118">
        <v>0.05</v>
      </c>
      <c r="AA118">
        <v>0.1</v>
      </c>
      <c r="AB118">
        <v>4350</v>
      </c>
      <c r="AC118">
        <v>3915</v>
      </c>
      <c r="AD118">
        <v>52.2</v>
      </c>
      <c r="AE118">
        <v>195.75</v>
      </c>
      <c r="AF118">
        <v>196</v>
      </c>
      <c r="AG118">
        <v>1885</v>
      </c>
      <c r="AH118">
        <v>1638.25</v>
      </c>
      <c r="AI118" s="5">
        <v>0.41845466155811001</v>
      </c>
    </row>
    <row r="119" spans="14:35" x14ac:dyDescent="0.25">
      <c r="N119" t="s">
        <v>133</v>
      </c>
      <c r="O119" s="1">
        <v>46175.75</v>
      </c>
      <c r="P119" t="s">
        <v>22</v>
      </c>
      <c r="Q119" t="s">
        <v>23</v>
      </c>
      <c r="R119" t="s">
        <v>24</v>
      </c>
      <c r="S119">
        <v>138</v>
      </c>
      <c r="T119" t="s">
        <v>25</v>
      </c>
      <c r="U119">
        <v>150</v>
      </c>
      <c r="V119">
        <v>65</v>
      </c>
      <c r="W119">
        <v>1.8</v>
      </c>
      <c r="X119" t="s">
        <v>26</v>
      </c>
      <c r="Y119">
        <v>4.5</v>
      </c>
      <c r="Z119">
        <v>0.05</v>
      </c>
      <c r="AA119">
        <v>0.02</v>
      </c>
      <c r="AB119">
        <v>20700</v>
      </c>
      <c r="AC119">
        <v>20286</v>
      </c>
      <c r="AD119">
        <v>248.4</v>
      </c>
      <c r="AE119">
        <v>1014.3000000000001</v>
      </c>
      <c r="AF119">
        <v>1014</v>
      </c>
      <c r="AG119">
        <v>8970</v>
      </c>
      <c r="AH119">
        <v>9287.7000000000007</v>
      </c>
      <c r="AI119" s="5">
        <v>0.45783791777580601</v>
      </c>
    </row>
    <row r="120" spans="14:35" x14ac:dyDescent="0.25">
      <c r="N120" t="s">
        <v>134</v>
      </c>
      <c r="O120" s="1">
        <v>46175.958333333336</v>
      </c>
      <c r="P120" t="s">
        <v>22</v>
      </c>
      <c r="Q120" t="s">
        <v>23</v>
      </c>
      <c r="R120" t="s">
        <v>24</v>
      </c>
      <c r="S120">
        <v>49</v>
      </c>
      <c r="T120" t="s">
        <v>25</v>
      </c>
      <c r="U120">
        <v>150</v>
      </c>
      <c r="V120">
        <v>65</v>
      </c>
      <c r="W120">
        <v>1.8</v>
      </c>
      <c r="X120" t="s">
        <v>26</v>
      </c>
      <c r="Y120">
        <v>4.5</v>
      </c>
      <c r="Z120">
        <v>0.05</v>
      </c>
      <c r="AA120">
        <v>0.02</v>
      </c>
      <c r="AB120">
        <v>7350</v>
      </c>
      <c r="AC120">
        <v>7203</v>
      </c>
      <c r="AD120">
        <v>88.2</v>
      </c>
      <c r="AE120">
        <v>360.15000000000003</v>
      </c>
      <c r="AF120">
        <v>360</v>
      </c>
      <c r="AG120">
        <v>3185</v>
      </c>
      <c r="AH120">
        <v>3297.85</v>
      </c>
      <c r="AI120" s="5">
        <v>0.45784395390809401</v>
      </c>
    </row>
    <row r="121" spans="14:35" x14ac:dyDescent="0.25">
      <c r="N121" t="s">
        <v>135</v>
      </c>
      <c r="O121" s="1">
        <v>46176.583333333336</v>
      </c>
      <c r="P121" t="s">
        <v>22</v>
      </c>
      <c r="Q121" t="s">
        <v>23</v>
      </c>
      <c r="R121" t="s">
        <v>29</v>
      </c>
      <c r="S121">
        <v>182</v>
      </c>
      <c r="T121" t="s">
        <v>25</v>
      </c>
      <c r="U121">
        <v>150</v>
      </c>
      <c r="V121">
        <v>65</v>
      </c>
      <c r="W121">
        <v>1.8</v>
      </c>
      <c r="X121" t="s">
        <v>26</v>
      </c>
      <c r="Y121">
        <v>4.5</v>
      </c>
      <c r="Z121">
        <v>0.05</v>
      </c>
      <c r="AA121">
        <v>0.1</v>
      </c>
      <c r="AB121">
        <v>27300</v>
      </c>
      <c r="AC121">
        <v>24570</v>
      </c>
      <c r="AD121">
        <v>327.60000000000002</v>
      </c>
      <c r="AE121">
        <v>1228.5</v>
      </c>
      <c r="AF121">
        <v>1228</v>
      </c>
      <c r="AG121">
        <v>11830</v>
      </c>
      <c r="AH121">
        <v>10283.5</v>
      </c>
      <c r="AI121" s="5">
        <v>0.41853886853886801</v>
      </c>
    </row>
    <row r="122" spans="14:35" x14ac:dyDescent="0.25">
      <c r="N122" t="s">
        <v>136</v>
      </c>
      <c r="O122" s="1">
        <v>46177.291666666664</v>
      </c>
      <c r="P122" t="s">
        <v>22</v>
      </c>
      <c r="Q122" t="s">
        <v>23</v>
      </c>
      <c r="R122" t="s">
        <v>32</v>
      </c>
      <c r="S122">
        <v>142</v>
      </c>
      <c r="T122" t="s">
        <v>25</v>
      </c>
      <c r="U122">
        <v>150</v>
      </c>
      <c r="V122">
        <v>65</v>
      </c>
      <c r="W122">
        <v>1.8</v>
      </c>
      <c r="X122" t="s">
        <v>26</v>
      </c>
      <c r="Y122">
        <v>4.5</v>
      </c>
      <c r="Z122">
        <v>0.05</v>
      </c>
      <c r="AA122">
        <v>0.05</v>
      </c>
      <c r="AB122">
        <v>21300</v>
      </c>
      <c r="AC122">
        <v>20235</v>
      </c>
      <c r="AD122">
        <v>255.6</v>
      </c>
      <c r="AE122">
        <v>1011.75</v>
      </c>
      <c r="AF122">
        <v>1012</v>
      </c>
      <c r="AG122">
        <v>9230</v>
      </c>
      <c r="AH122">
        <v>8981.25</v>
      </c>
      <c r="AI122" s="5">
        <v>0.44384729429206798</v>
      </c>
    </row>
    <row r="123" spans="14:35" x14ac:dyDescent="0.25">
      <c r="N123" t="s">
        <v>137</v>
      </c>
      <c r="O123" s="1">
        <v>46177.666666666664</v>
      </c>
      <c r="P123" t="s">
        <v>22</v>
      </c>
      <c r="Q123" t="s">
        <v>23</v>
      </c>
      <c r="R123" t="s">
        <v>32</v>
      </c>
      <c r="S123">
        <v>26</v>
      </c>
      <c r="T123" t="s">
        <v>25</v>
      </c>
      <c r="U123">
        <v>150</v>
      </c>
      <c r="V123">
        <v>65</v>
      </c>
      <c r="W123">
        <v>1.8</v>
      </c>
      <c r="X123" t="s">
        <v>26</v>
      </c>
      <c r="Y123">
        <v>4.5</v>
      </c>
      <c r="Z123">
        <v>0.05</v>
      </c>
      <c r="AA123">
        <v>0.05</v>
      </c>
      <c r="AB123">
        <v>3900</v>
      </c>
      <c r="AC123">
        <v>3705</v>
      </c>
      <c r="AD123">
        <v>46.800000000000004</v>
      </c>
      <c r="AE123">
        <v>185.25</v>
      </c>
      <c r="AF123">
        <v>185</v>
      </c>
      <c r="AG123">
        <v>1690</v>
      </c>
      <c r="AH123">
        <v>1644.75</v>
      </c>
      <c r="AI123" s="5">
        <v>0.44392712550607299</v>
      </c>
    </row>
    <row r="124" spans="14:35" x14ac:dyDescent="0.25">
      <c r="N124" t="s">
        <v>138</v>
      </c>
      <c r="O124" s="1">
        <v>46177.916666666664</v>
      </c>
      <c r="P124" t="s">
        <v>22</v>
      </c>
      <c r="Q124" t="s">
        <v>23</v>
      </c>
      <c r="R124" t="s">
        <v>32</v>
      </c>
      <c r="S124">
        <v>187</v>
      </c>
      <c r="T124" t="s">
        <v>25</v>
      </c>
      <c r="U124">
        <v>150</v>
      </c>
      <c r="V124">
        <v>65</v>
      </c>
      <c r="W124">
        <v>1.8</v>
      </c>
      <c r="X124" t="s">
        <v>26</v>
      </c>
      <c r="Y124">
        <v>4.5</v>
      </c>
      <c r="Z124">
        <v>0.05</v>
      </c>
      <c r="AA124">
        <v>0.05</v>
      </c>
      <c r="AB124">
        <v>28050</v>
      </c>
      <c r="AC124">
        <v>26648</v>
      </c>
      <c r="AD124">
        <v>336.6</v>
      </c>
      <c r="AE124">
        <v>1332.4</v>
      </c>
      <c r="AF124">
        <v>1332</v>
      </c>
      <c r="AG124">
        <v>12155</v>
      </c>
      <c r="AH124">
        <v>11828.6</v>
      </c>
      <c r="AI124" s="5">
        <v>0.44388321825277699</v>
      </c>
    </row>
    <row r="125" spans="14:35" x14ac:dyDescent="0.25">
      <c r="N125" t="s">
        <v>139</v>
      </c>
      <c r="O125" s="1">
        <v>46178.041666666664</v>
      </c>
      <c r="P125" t="s">
        <v>22</v>
      </c>
      <c r="Q125" t="s">
        <v>23</v>
      </c>
      <c r="R125" t="s">
        <v>32</v>
      </c>
      <c r="S125">
        <v>134</v>
      </c>
      <c r="T125" t="s">
        <v>25</v>
      </c>
      <c r="U125">
        <v>150</v>
      </c>
      <c r="V125">
        <v>65</v>
      </c>
      <c r="W125">
        <v>1.8</v>
      </c>
      <c r="X125" t="s">
        <v>26</v>
      </c>
      <c r="Y125">
        <v>4.5</v>
      </c>
      <c r="Z125">
        <v>0.05</v>
      </c>
      <c r="AA125">
        <v>0.05</v>
      </c>
      <c r="AB125">
        <v>20100</v>
      </c>
      <c r="AC125">
        <v>19095</v>
      </c>
      <c r="AD125">
        <v>241.20000000000002</v>
      </c>
      <c r="AE125">
        <v>954.75</v>
      </c>
      <c r="AF125">
        <v>955</v>
      </c>
      <c r="AG125">
        <v>8710</v>
      </c>
      <c r="AH125">
        <v>8475.25</v>
      </c>
      <c r="AI125" s="5">
        <v>0.44384655669023299</v>
      </c>
    </row>
    <row r="126" spans="14:35" x14ac:dyDescent="0.25">
      <c r="N126" t="s">
        <v>140</v>
      </c>
      <c r="O126" s="1">
        <v>46178.375</v>
      </c>
      <c r="P126" t="s">
        <v>22</v>
      </c>
      <c r="Q126" t="s">
        <v>23</v>
      </c>
      <c r="R126" t="s">
        <v>29</v>
      </c>
      <c r="S126">
        <v>158</v>
      </c>
      <c r="T126" t="s">
        <v>25</v>
      </c>
      <c r="U126">
        <v>150</v>
      </c>
      <c r="V126">
        <v>65</v>
      </c>
      <c r="W126">
        <v>1.8</v>
      </c>
      <c r="X126" t="s">
        <v>26</v>
      </c>
      <c r="Y126">
        <v>4.5</v>
      </c>
      <c r="Z126">
        <v>0.05</v>
      </c>
      <c r="AA126">
        <v>0.1</v>
      </c>
      <c r="AB126">
        <v>23700</v>
      </c>
      <c r="AC126">
        <v>21330</v>
      </c>
      <c r="AD126">
        <v>284.40000000000003</v>
      </c>
      <c r="AE126">
        <v>1066.5</v>
      </c>
      <c r="AF126">
        <v>1066</v>
      </c>
      <c r="AG126">
        <v>10270</v>
      </c>
      <c r="AH126">
        <v>8927.5</v>
      </c>
      <c r="AI126" s="5">
        <v>0.4185419596812</v>
      </c>
    </row>
    <row r="127" spans="14:35" x14ac:dyDescent="0.25">
      <c r="N127" t="s">
        <v>141</v>
      </c>
      <c r="O127" s="1">
        <v>46178.541666666664</v>
      </c>
      <c r="P127" t="s">
        <v>22</v>
      </c>
      <c r="Q127" t="s">
        <v>23</v>
      </c>
      <c r="R127" t="s">
        <v>29</v>
      </c>
      <c r="S127">
        <v>156</v>
      </c>
      <c r="T127" t="s">
        <v>25</v>
      </c>
      <c r="U127">
        <v>150</v>
      </c>
      <c r="V127">
        <v>65</v>
      </c>
      <c r="W127">
        <v>1.8</v>
      </c>
      <c r="X127" t="s">
        <v>26</v>
      </c>
      <c r="Y127">
        <v>4.5</v>
      </c>
      <c r="Z127">
        <v>0.05</v>
      </c>
      <c r="AA127">
        <v>0.1</v>
      </c>
      <c r="AB127">
        <v>23400</v>
      </c>
      <c r="AC127">
        <v>21060</v>
      </c>
      <c r="AD127">
        <v>280.8</v>
      </c>
      <c r="AE127">
        <v>1053</v>
      </c>
      <c r="AF127">
        <v>1053</v>
      </c>
      <c r="AG127">
        <v>10140</v>
      </c>
      <c r="AH127">
        <v>8814</v>
      </c>
      <c r="AI127" s="5">
        <v>0.41851851851851801</v>
      </c>
    </row>
    <row r="128" spans="14:35" x14ac:dyDescent="0.25">
      <c r="N128" t="s">
        <v>142</v>
      </c>
      <c r="O128" s="1">
        <v>46178.666666666664</v>
      </c>
      <c r="P128" t="s">
        <v>22</v>
      </c>
      <c r="Q128" t="s">
        <v>23</v>
      </c>
      <c r="R128" t="s">
        <v>24</v>
      </c>
      <c r="S128">
        <v>151</v>
      </c>
      <c r="T128" t="s">
        <v>25</v>
      </c>
      <c r="U128">
        <v>150</v>
      </c>
      <c r="V128">
        <v>65</v>
      </c>
      <c r="W128">
        <v>1.8</v>
      </c>
      <c r="X128" t="s">
        <v>26</v>
      </c>
      <c r="Y128">
        <v>4.5</v>
      </c>
      <c r="Z128">
        <v>0.05</v>
      </c>
      <c r="AA128">
        <v>0.02</v>
      </c>
      <c r="AB128">
        <v>22650</v>
      </c>
      <c r="AC128">
        <v>22197</v>
      </c>
      <c r="AD128">
        <v>271.8</v>
      </c>
      <c r="AE128">
        <v>1109.8500000000001</v>
      </c>
      <c r="AF128">
        <v>1110</v>
      </c>
      <c r="AG128">
        <v>9815</v>
      </c>
      <c r="AH128">
        <v>10162.15</v>
      </c>
      <c r="AI128" s="5">
        <v>0.45781637158174499</v>
      </c>
    </row>
    <row r="129" spans="14:35" x14ac:dyDescent="0.25">
      <c r="N129" t="s">
        <v>143</v>
      </c>
      <c r="O129" s="1">
        <v>46179.833333333336</v>
      </c>
      <c r="P129" t="s">
        <v>22</v>
      </c>
      <c r="Q129" t="s">
        <v>23</v>
      </c>
      <c r="R129" t="s">
        <v>29</v>
      </c>
      <c r="S129">
        <v>162</v>
      </c>
      <c r="T129" t="s">
        <v>25</v>
      </c>
      <c r="U129">
        <v>150</v>
      </c>
      <c r="V129">
        <v>65</v>
      </c>
      <c r="W129">
        <v>1.8</v>
      </c>
      <c r="X129" t="s">
        <v>26</v>
      </c>
      <c r="Y129">
        <v>4.5</v>
      </c>
      <c r="Z129">
        <v>0.05</v>
      </c>
      <c r="AA129">
        <v>0.1</v>
      </c>
      <c r="AB129">
        <v>24300</v>
      </c>
      <c r="AC129">
        <v>21870</v>
      </c>
      <c r="AD129">
        <v>291.60000000000002</v>
      </c>
      <c r="AE129">
        <v>1093.5</v>
      </c>
      <c r="AF129">
        <v>1094</v>
      </c>
      <c r="AG129">
        <v>10530</v>
      </c>
      <c r="AH129">
        <v>9152.5</v>
      </c>
      <c r="AI129" s="5">
        <v>0.41849565614997702</v>
      </c>
    </row>
    <row r="130" spans="14:35" x14ac:dyDescent="0.25">
      <c r="N130" t="s">
        <v>144</v>
      </c>
      <c r="O130" s="1">
        <v>46180.041666666664</v>
      </c>
      <c r="P130" t="s">
        <v>22</v>
      </c>
      <c r="Q130" t="s">
        <v>23</v>
      </c>
      <c r="R130" t="s">
        <v>24</v>
      </c>
      <c r="S130">
        <v>182</v>
      </c>
      <c r="T130" t="s">
        <v>25</v>
      </c>
      <c r="U130">
        <v>150</v>
      </c>
      <c r="V130">
        <v>65</v>
      </c>
      <c r="W130">
        <v>1.8</v>
      </c>
      <c r="X130" t="s">
        <v>26</v>
      </c>
      <c r="Y130">
        <v>4.5</v>
      </c>
      <c r="Z130">
        <v>0.05</v>
      </c>
      <c r="AA130">
        <v>0.02</v>
      </c>
      <c r="AB130">
        <v>27300</v>
      </c>
      <c r="AC130">
        <v>26754</v>
      </c>
      <c r="AD130">
        <v>327.60000000000002</v>
      </c>
      <c r="AE130">
        <v>1337.7</v>
      </c>
      <c r="AF130">
        <v>1338</v>
      </c>
      <c r="AG130">
        <v>11830</v>
      </c>
      <c r="AH130">
        <v>12248.3</v>
      </c>
      <c r="AI130" s="5">
        <v>0.45781191597518101</v>
      </c>
    </row>
    <row r="131" spans="14:35" x14ac:dyDescent="0.25">
      <c r="N131" t="s">
        <v>145</v>
      </c>
      <c r="O131" s="1">
        <v>46180.333333333336</v>
      </c>
      <c r="P131" t="s">
        <v>22</v>
      </c>
      <c r="Q131" t="s">
        <v>23</v>
      </c>
      <c r="R131" t="s">
        <v>24</v>
      </c>
      <c r="S131">
        <v>71</v>
      </c>
      <c r="T131" t="s">
        <v>25</v>
      </c>
      <c r="U131">
        <v>150</v>
      </c>
      <c r="V131">
        <v>65</v>
      </c>
      <c r="W131">
        <v>1.8</v>
      </c>
      <c r="X131" t="s">
        <v>26</v>
      </c>
      <c r="Y131">
        <v>4.5</v>
      </c>
      <c r="Z131">
        <v>0.05</v>
      </c>
      <c r="AA131">
        <v>0.02</v>
      </c>
      <c r="AB131">
        <v>10650</v>
      </c>
      <c r="AC131">
        <v>10437</v>
      </c>
      <c r="AD131">
        <v>127.8</v>
      </c>
      <c r="AE131">
        <v>521.85</v>
      </c>
      <c r="AF131">
        <v>522</v>
      </c>
      <c r="AG131">
        <v>4615</v>
      </c>
      <c r="AH131">
        <v>4778.1499999999996</v>
      </c>
      <c r="AI131" s="5">
        <v>0.457808757305739</v>
      </c>
    </row>
    <row r="132" spans="14:35" x14ac:dyDescent="0.25">
      <c r="N132" t="s">
        <v>146</v>
      </c>
      <c r="O132" s="1">
        <v>46180.625</v>
      </c>
      <c r="P132" t="s">
        <v>22</v>
      </c>
      <c r="Q132" t="s">
        <v>23</v>
      </c>
      <c r="R132" t="s">
        <v>29</v>
      </c>
      <c r="S132">
        <v>180</v>
      </c>
      <c r="T132" t="s">
        <v>25</v>
      </c>
      <c r="U132">
        <v>150</v>
      </c>
      <c r="V132">
        <v>65</v>
      </c>
      <c r="W132">
        <v>1.8</v>
      </c>
      <c r="X132" t="s">
        <v>26</v>
      </c>
      <c r="Y132">
        <v>4.5</v>
      </c>
      <c r="Z132">
        <v>0.05</v>
      </c>
      <c r="AA132">
        <v>0.1</v>
      </c>
      <c r="AB132">
        <v>27000</v>
      </c>
      <c r="AC132">
        <v>24300</v>
      </c>
      <c r="AD132">
        <v>324</v>
      </c>
      <c r="AE132">
        <v>1215</v>
      </c>
      <c r="AF132">
        <v>1215</v>
      </c>
      <c r="AG132">
        <v>11700</v>
      </c>
      <c r="AH132">
        <v>10170</v>
      </c>
      <c r="AI132" s="5">
        <v>0.41851851851851801</v>
      </c>
    </row>
    <row r="133" spans="14:35" x14ac:dyDescent="0.25">
      <c r="N133" t="s">
        <v>147</v>
      </c>
      <c r="O133" s="1">
        <v>46181.458333333336</v>
      </c>
      <c r="P133" t="s">
        <v>22</v>
      </c>
      <c r="Q133" t="s">
        <v>23</v>
      </c>
      <c r="R133" t="s">
        <v>32</v>
      </c>
      <c r="S133">
        <v>194</v>
      </c>
      <c r="T133" t="s">
        <v>25</v>
      </c>
      <c r="U133">
        <v>150</v>
      </c>
      <c r="V133">
        <v>65</v>
      </c>
      <c r="W133">
        <v>1.8</v>
      </c>
      <c r="X133" t="s">
        <v>26</v>
      </c>
      <c r="Y133">
        <v>4.5</v>
      </c>
      <c r="Z133">
        <v>0.05</v>
      </c>
      <c r="AA133">
        <v>0.05</v>
      </c>
      <c r="AB133">
        <v>29100</v>
      </c>
      <c r="AC133">
        <v>27645</v>
      </c>
      <c r="AD133">
        <v>349.2</v>
      </c>
      <c r="AE133">
        <v>1382.25</v>
      </c>
      <c r="AF133">
        <v>1382</v>
      </c>
      <c r="AG133">
        <v>12610</v>
      </c>
      <c r="AH133">
        <v>12270.75</v>
      </c>
      <c r="AI133" s="5">
        <v>0.44386869234942999</v>
      </c>
    </row>
    <row r="134" spans="14:35" x14ac:dyDescent="0.25">
      <c r="N134" t="s">
        <v>148</v>
      </c>
      <c r="O134" s="1">
        <v>46181.916666666664</v>
      </c>
      <c r="P134" t="s">
        <v>22</v>
      </c>
      <c r="Q134" t="s">
        <v>23</v>
      </c>
      <c r="R134" t="s">
        <v>24</v>
      </c>
      <c r="S134">
        <v>38</v>
      </c>
      <c r="T134" t="s">
        <v>25</v>
      </c>
      <c r="U134">
        <v>150</v>
      </c>
      <c r="V134">
        <v>65</v>
      </c>
      <c r="W134">
        <v>1.8</v>
      </c>
      <c r="X134" t="s">
        <v>26</v>
      </c>
      <c r="Y134">
        <v>4.5</v>
      </c>
      <c r="Z134">
        <v>0.05</v>
      </c>
      <c r="AA134">
        <v>0.02</v>
      </c>
      <c r="AB134">
        <v>5700</v>
      </c>
      <c r="AC134">
        <v>5586</v>
      </c>
      <c r="AD134">
        <v>68.400000000000006</v>
      </c>
      <c r="AE134">
        <v>279.3</v>
      </c>
      <c r="AF134">
        <v>279</v>
      </c>
      <c r="AG134">
        <v>2470</v>
      </c>
      <c r="AH134">
        <v>2557.6999999999998</v>
      </c>
      <c r="AI134" s="5">
        <v>0.45787683494450399</v>
      </c>
    </row>
    <row r="135" spans="14:35" x14ac:dyDescent="0.25">
      <c r="N135" t="s">
        <v>149</v>
      </c>
      <c r="O135" s="1">
        <v>46182.375</v>
      </c>
      <c r="P135" t="s">
        <v>22</v>
      </c>
      <c r="Q135" t="s">
        <v>23</v>
      </c>
      <c r="R135" t="s">
        <v>24</v>
      </c>
      <c r="S135">
        <v>173</v>
      </c>
      <c r="T135" t="s">
        <v>25</v>
      </c>
      <c r="U135">
        <v>150</v>
      </c>
      <c r="V135">
        <v>65</v>
      </c>
      <c r="W135">
        <v>1.8</v>
      </c>
      <c r="X135" t="s">
        <v>26</v>
      </c>
      <c r="Y135">
        <v>4.5</v>
      </c>
      <c r="Z135">
        <v>0.05</v>
      </c>
      <c r="AA135">
        <v>0.02</v>
      </c>
      <c r="AB135">
        <v>25950</v>
      </c>
      <c r="AC135">
        <v>25431</v>
      </c>
      <c r="AD135">
        <v>311.40000000000003</v>
      </c>
      <c r="AE135">
        <v>1271.5500000000002</v>
      </c>
      <c r="AF135">
        <v>1272</v>
      </c>
      <c r="AG135">
        <v>11245</v>
      </c>
      <c r="AH135">
        <v>11642.45</v>
      </c>
      <c r="AI135" s="5">
        <v>0.45780543431245302</v>
      </c>
    </row>
    <row r="136" spans="14:35" x14ac:dyDescent="0.25">
      <c r="N136" t="s">
        <v>150</v>
      </c>
      <c r="O136" s="1">
        <v>46182.458333333336</v>
      </c>
      <c r="P136" t="s">
        <v>22</v>
      </c>
      <c r="Q136" t="s">
        <v>23</v>
      </c>
      <c r="R136" t="s">
        <v>32</v>
      </c>
      <c r="S136">
        <v>67</v>
      </c>
      <c r="T136" t="s">
        <v>25</v>
      </c>
      <c r="U136">
        <v>150</v>
      </c>
      <c r="V136">
        <v>65</v>
      </c>
      <c r="W136">
        <v>1.8</v>
      </c>
      <c r="X136" t="s">
        <v>26</v>
      </c>
      <c r="Y136">
        <v>4.5</v>
      </c>
      <c r="Z136">
        <v>0.05</v>
      </c>
      <c r="AA136">
        <v>0.05</v>
      </c>
      <c r="AB136">
        <v>10050</v>
      </c>
      <c r="AC136">
        <v>9548</v>
      </c>
      <c r="AD136">
        <v>120.60000000000001</v>
      </c>
      <c r="AE136">
        <v>477.40000000000003</v>
      </c>
      <c r="AF136">
        <v>477</v>
      </c>
      <c r="AG136">
        <v>4355</v>
      </c>
      <c r="AH136">
        <v>4238.6000000000004</v>
      </c>
      <c r="AI136" s="5">
        <v>0.44392542940930002</v>
      </c>
    </row>
    <row r="137" spans="14:35" x14ac:dyDescent="0.25">
      <c r="N137" t="s">
        <v>151</v>
      </c>
      <c r="O137" s="1">
        <v>46183.541666666664</v>
      </c>
      <c r="P137" t="s">
        <v>22</v>
      </c>
      <c r="Q137" t="s">
        <v>23</v>
      </c>
      <c r="R137" t="s">
        <v>24</v>
      </c>
      <c r="S137">
        <v>68</v>
      </c>
      <c r="T137" t="s">
        <v>25</v>
      </c>
      <c r="U137">
        <v>150</v>
      </c>
      <c r="V137">
        <v>65</v>
      </c>
      <c r="W137">
        <v>1.8</v>
      </c>
      <c r="X137" t="s">
        <v>26</v>
      </c>
      <c r="Y137">
        <v>4.5</v>
      </c>
      <c r="Z137">
        <v>0.05</v>
      </c>
      <c r="AA137">
        <v>0.02</v>
      </c>
      <c r="AB137">
        <v>10200</v>
      </c>
      <c r="AC137">
        <v>9996</v>
      </c>
      <c r="AD137">
        <v>122.4</v>
      </c>
      <c r="AE137">
        <v>499.8</v>
      </c>
      <c r="AF137">
        <v>500</v>
      </c>
      <c r="AG137">
        <v>4420</v>
      </c>
      <c r="AH137">
        <v>4576.2</v>
      </c>
      <c r="AI137" s="5">
        <v>0.45780312124849898</v>
      </c>
    </row>
    <row r="138" spans="14:35" x14ac:dyDescent="0.25">
      <c r="N138" t="s">
        <v>152</v>
      </c>
      <c r="O138" s="1">
        <v>46183.875</v>
      </c>
      <c r="P138" t="s">
        <v>22</v>
      </c>
      <c r="Q138" t="s">
        <v>23</v>
      </c>
      <c r="R138" t="s">
        <v>32</v>
      </c>
      <c r="S138">
        <v>121</v>
      </c>
      <c r="T138" t="s">
        <v>25</v>
      </c>
      <c r="U138">
        <v>150</v>
      </c>
      <c r="V138">
        <v>65</v>
      </c>
      <c r="W138">
        <v>1.8</v>
      </c>
      <c r="X138" t="s">
        <v>26</v>
      </c>
      <c r="Y138">
        <v>4.5</v>
      </c>
      <c r="Z138">
        <v>0.05</v>
      </c>
      <c r="AA138">
        <v>0.05</v>
      </c>
      <c r="AB138">
        <v>18150</v>
      </c>
      <c r="AC138">
        <v>17242</v>
      </c>
      <c r="AD138">
        <v>217.8</v>
      </c>
      <c r="AE138">
        <v>862.1</v>
      </c>
      <c r="AF138">
        <v>862</v>
      </c>
      <c r="AG138">
        <v>7865</v>
      </c>
      <c r="AH138">
        <v>7652.9</v>
      </c>
      <c r="AI138" s="5">
        <v>0.44385222132003199</v>
      </c>
    </row>
    <row r="139" spans="14:35" x14ac:dyDescent="0.25">
      <c r="N139" t="s">
        <v>153</v>
      </c>
      <c r="O139" s="1">
        <v>46184.541666666664</v>
      </c>
      <c r="P139" t="s">
        <v>22</v>
      </c>
      <c r="Q139" t="s">
        <v>23</v>
      </c>
      <c r="R139" t="s">
        <v>32</v>
      </c>
      <c r="S139">
        <v>88</v>
      </c>
      <c r="T139" t="s">
        <v>25</v>
      </c>
      <c r="U139">
        <v>150</v>
      </c>
      <c r="V139">
        <v>65</v>
      </c>
      <c r="W139">
        <v>1.8</v>
      </c>
      <c r="X139" t="s">
        <v>26</v>
      </c>
      <c r="Y139">
        <v>4.5</v>
      </c>
      <c r="Z139">
        <v>0.05</v>
      </c>
      <c r="AA139">
        <v>0.05</v>
      </c>
      <c r="AB139">
        <v>13200</v>
      </c>
      <c r="AC139">
        <v>12540</v>
      </c>
      <c r="AD139">
        <v>158.4</v>
      </c>
      <c r="AE139">
        <v>627</v>
      </c>
      <c r="AF139">
        <v>627</v>
      </c>
      <c r="AG139">
        <v>5720</v>
      </c>
      <c r="AH139">
        <v>5566</v>
      </c>
      <c r="AI139" s="5">
        <v>0.44385964912280701</v>
      </c>
    </row>
    <row r="140" spans="14:35" x14ac:dyDescent="0.25">
      <c r="N140" t="s">
        <v>154</v>
      </c>
      <c r="O140" s="1">
        <v>46143.291666666664</v>
      </c>
      <c r="P140" t="s">
        <v>22</v>
      </c>
      <c r="Q140" t="s">
        <v>155</v>
      </c>
      <c r="R140" t="s">
        <v>32</v>
      </c>
      <c r="S140">
        <v>40</v>
      </c>
      <c r="T140" t="s">
        <v>25</v>
      </c>
      <c r="U140">
        <v>150</v>
      </c>
      <c r="V140">
        <v>65</v>
      </c>
      <c r="W140">
        <v>1.8</v>
      </c>
      <c r="X140" t="s">
        <v>156</v>
      </c>
      <c r="Y140">
        <v>12.5</v>
      </c>
      <c r="Z140">
        <v>0.15</v>
      </c>
      <c r="AA140">
        <v>0.05</v>
      </c>
      <c r="AB140">
        <v>6000</v>
      </c>
      <c r="AC140">
        <v>5700</v>
      </c>
      <c r="AD140">
        <v>72</v>
      </c>
      <c r="AE140">
        <v>855</v>
      </c>
      <c r="AF140">
        <v>855</v>
      </c>
      <c r="AG140">
        <v>2600</v>
      </c>
      <c r="AH140">
        <v>1390</v>
      </c>
      <c r="AI140" s="5">
        <v>0.243859649122807</v>
      </c>
    </row>
    <row r="141" spans="14:35" x14ac:dyDescent="0.25">
      <c r="N141" t="s">
        <v>157</v>
      </c>
      <c r="O141" s="1">
        <v>46143.375</v>
      </c>
      <c r="P141" t="s">
        <v>22</v>
      </c>
      <c r="Q141" t="s">
        <v>155</v>
      </c>
      <c r="R141" t="s">
        <v>24</v>
      </c>
      <c r="S141">
        <v>131</v>
      </c>
      <c r="T141" t="s">
        <v>25</v>
      </c>
      <c r="U141">
        <v>150</v>
      </c>
      <c r="V141">
        <v>65</v>
      </c>
      <c r="W141">
        <v>1.8</v>
      </c>
      <c r="X141" t="s">
        <v>156</v>
      </c>
      <c r="Y141">
        <v>12.5</v>
      </c>
      <c r="Z141">
        <v>0.15</v>
      </c>
      <c r="AA141">
        <v>0.02</v>
      </c>
      <c r="AB141">
        <v>19650</v>
      </c>
      <c r="AC141">
        <v>19257</v>
      </c>
      <c r="AD141">
        <v>235.8</v>
      </c>
      <c r="AE141">
        <v>2888.5499999999997</v>
      </c>
      <c r="AF141">
        <v>2889</v>
      </c>
      <c r="AG141">
        <v>8515</v>
      </c>
      <c r="AH141">
        <v>4964.4500000000007</v>
      </c>
      <c r="AI141" s="5">
        <v>0.25779976112582398</v>
      </c>
    </row>
    <row r="142" spans="14:35" x14ac:dyDescent="0.25">
      <c r="N142" t="s">
        <v>158</v>
      </c>
      <c r="O142" s="1">
        <v>46143.583333333336</v>
      </c>
      <c r="P142" t="s">
        <v>22</v>
      </c>
      <c r="Q142" t="s">
        <v>155</v>
      </c>
      <c r="R142" t="s">
        <v>32</v>
      </c>
      <c r="S142">
        <v>122</v>
      </c>
      <c r="T142" t="s">
        <v>25</v>
      </c>
      <c r="U142">
        <v>150</v>
      </c>
      <c r="V142">
        <v>65</v>
      </c>
      <c r="W142">
        <v>1.8</v>
      </c>
      <c r="X142" t="s">
        <v>156</v>
      </c>
      <c r="Y142">
        <v>12.5</v>
      </c>
      <c r="Z142">
        <v>0.15</v>
      </c>
      <c r="AA142">
        <v>0.05</v>
      </c>
      <c r="AB142">
        <v>18300</v>
      </c>
      <c r="AC142">
        <v>17385</v>
      </c>
      <c r="AD142">
        <v>219.6</v>
      </c>
      <c r="AE142">
        <v>2607.75</v>
      </c>
      <c r="AF142">
        <v>2608</v>
      </c>
      <c r="AG142">
        <v>7930</v>
      </c>
      <c r="AH142">
        <v>4239.25</v>
      </c>
      <c r="AI142" s="5">
        <v>0.24384526890998001</v>
      </c>
    </row>
    <row r="143" spans="14:35" x14ac:dyDescent="0.25">
      <c r="N143" t="s">
        <v>159</v>
      </c>
      <c r="O143" s="1">
        <v>46144.041666666664</v>
      </c>
      <c r="P143" t="s">
        <v>22</v>
      </c>
      <c r="Q143" t="s">
        <v>155</v>
      </c>
      <c r="R143" t="s">
        <v>29</v>
      </c>
      <c r="S143">
        <v>132</v>
      </c>
      <c r="T143" t="s">
        <v>25</v>
      </c>
      <c r="U143">
        <v>150</v>
      </c>
      <c r="V143">
        <v>65</v>
      </c>
      <c r="W143">
        <v>1.8</v>
      </c>
      <c r="X143" t="s">
        <v>156</v>
      </c>
      <c r="Y143">
        <v>12.5</v>
      </c>
      <c r="Z143">
        <v>0.15</v>
      </c>
      <c r="AA143">
        <v>0.1</v>
      </c>
      <c r="AB143">
        <v>19800</v>
      </c>
      <c r="AC143">
        <v>17820</v>
      </c>
      <c r="AD143">
        <v>237.6</v>
      </c>
      <c r="AE143">
        <v>2673</v>
      </c>
      <c r="AF143">
        <v>2673</v>
      </c>
      <c r="AG143">
        <v>8580</v>
      </c>
      <c r="AH143">
        <v>3894</v>
      </c>
      <c r="AI143" s="5">
        <v>0.218518518518519</v>
      </c>
    </row>
    <row r="144" spans="14:35" x14ac:dyDescent="0.25">
      <c r="N144" t="s">
        <v>160</v>
      </c>
      <c r="O144" s="1">
        <v>46144.583333333336</v>
      </c>
      <c r="P144" t="s">
        <v>22</v>
      </c>
      <c r="Q144" t="s">
        <v>155</v>
      </c>
      <c r="R144" t="s">
        <v>24</v>
      </c>
      <c r="S144">
        <v>23</v>
      </c>
      <c r="T144" t="s">
        <v>25</v>
      </c>
      <c r="U144">
        <v>150</v>
      </c>
      <c r="V144">
        <v>65</v>
      </c>
      <c r="W144">
        <v>1.8</v>
      </c>
      <c r="X144" t="s">
        <v>156</v>
      </c>
      <c r="Y144">
        <v>12.5</v>
      </c>
      <c r="Z144">
        <v>0.15</v>
      </c>
      <c r="AA144">
        <v>0.02</v>
      </c>
      <c r="AB144">
        <v>3450</v>
      </c>
      <c r="AC144">
        <v>3381</v>
      </c>
      <c r="AD144">
        <v>41.4</v>
      </c>
      <c r="AE144">
        <v>507.15</v>
      </c>
      <c r="AF144">
        <v>507</v>
      </c>
      <c r="AG144">
        <v>1495</v>
      </c>
      <c r="AH144">
        <v>871.84999999999991</v>
      </c>
      <c r="AI144" s="5">
        <v>0.257867494824017</v>
      </c>
    </row>
    <row r="145" spans="14:35" x14ac:dyDescent="0.25">
      <c r="N145" t="s">
        <v>161</v>
      </c>
      <c r="O145" s="1">
        <v>46144.708333333336</v>
      </c>
      <c r="P145" t="s">
        <v>22</v>
      </c>
      <c r="Q145" t="s">
        <v>155</v>
      </c>
      <c r="R145" t="s">
        <v>29</v>
      </c>
      <c r="S145">
        <v>129</v>
      </c>
      <c r="T145" t="s">
        <v>25</v>
      </c>
      <c r="U145">
        <v>150</v>
      </c>
      <c r="V145">
        <v>65</v>
      </c>
      <c r="W145">
        <v>1.8</v>
      </c>
      <c r="X145" t="s">
        <v>156</v>
      </c>
      <c r="Y145">
        <v>12.5</v>
      </c>
      <c r="Z145">
        <v>0.15</v>
      </c>
      <c r="AA145">
        <v>0.1</v>
      </c>
      <c r="AB145">
        <v>19350</v>
      </c>
      <c r="AC145">
        <v>17415</v>
      </c>
      <c r="AD145">
        <v>232.20000000000002</v>
      </c>
      <c r="AE145">
        <v>2612.25</v>
      </c>
      <c r="AF145">
        <v>2612</v>
      </c>
      <c r="AG145">
        <v>8385</v>
      </c>
      <c r="AH145">
        <v>3805.75</v>
      </c>
      <c r="AI145" s="5">
        <v>0.21853287395923099</v>
      </c>
    </row>
    <row r="146" spans="14:35" x14ac:dyDescent="0.25">
      <c r="N146" t="s">
        <v>162</v>
      </c>
      <c r="O146" s="1">
        <v>46144.75</v>
      </c>
      <c r="P146" t="s">
        <v>22</v>
      </c>
      <c r="Q146" t="s">
        <v>155</v>
      </c>
      <c r="R146" t="s">
        <v>32</v>
      </c>
      <c r="S146">
        <v>55</v>
      </c>
      <c r="T146" t="s">
        <v>25</v>
      </c>
      <c r="U146">
        <v>150</v>
      </c>
      <c r="V146">
        <v>65</v>
      </c>
      <c r="W146">
        <v>1.8</v>
      </c>
      <c r="X146" t="s">
        <v>156</v>
      </c>
      <c r="Y146">
        <v>12.5</v>
      </c>
      <c r="Z146">
        <v>0.15</v>
      </c>
      <c r="AA146">
        <v>0.05</v>
      </c>
      <c r="AB146">
        <v>8250</v>
      </c>
      <c r="AC146">
        <v>7838</v>
      </c>
      <c r="AD146">
        <v>99</v>
      </c>
      <c r="AE146">
        <v>1175.7</v>
      </c>
      <c r="AF146">
        <v>1176</v>
      </c>
      <c r="AG146">
        <v>3575</v>
      </c>
      <c r="AH146">
        <v>1911.3000000000002</v>
      </c>
      <c r="AI146" s="5">
        <v>0.24385047205919899</v>
      </c>
    </row>
    <row r="147" spans="14:35" x14ac:dyDescent="0.25">
      <c r="N147" t="s">
        <v>163</v>
      </c>
      <c r="O147" s="1">
        <v>46144.916666666664</v>
      </c>
      <c r="P147" t="s">
        <v>22</v>
      </c>
      <c r="Q147" t="s">
        <v>155</v>
      </c>
      <c r="R147" t="s">
        <v>29</v>
      </c>
      <c r="S147">
        <v>35</v>
      </c>
      <c r="T147" t="s">
        <v>25</v>
      </c>
      <c r="U147">
        <v>150</v>
      </c>
      <c r="V147">
        <v>65</v>
      </c>
      <c r="W147">
        <v>1.8</v>
      </c>
      <c r="X147" t="s">
        <v>156</v>
      </c>
      <c r="Y147">
        <v>12.5</v>
      </c>
      <c r="Z147">
        <v>0.15</v>
      </c>
      <c r="AA147">
        <v>0.1</v>
      </c>
      <c r="AB147">
        <v>5250</v>
      </c>
      <c r="AC147">
        <v>4725</v>
      </c>
      <c r="AD147">
        <v>63</v>
      </c>
      <c r="AE147">
        <v>708.75</v>
      </c>
      <c r="AF147">
        <v>709</v>
      </c>
      <c r="AG147">
        <v>2275</v>
      </c>
      <c r="AH147">
        <v>1032.25</v>
      </c>
      <c r="AI147" s="5">
        <v>0.218465608465608</v>
      </c>
    </row>
    <row r="148" spans="14:35" x14ac:dyDescent="0.25">
      <c r="N148" t="s">
        <v>164</v>
      </c>
      <c r="O148" s="1">
        <v>46145.041666666664</v>
      </c>
      <c r="P148" t="s">
        <v>22</v>
      </c>
      <c r="Q148" t="s">
        <v>155</v>
      </c>
      <c r="R148" t="s">
        <v>24</v>
      </c>
      <c r="S148">
        <v>164</v>
      </c>
      <c r="T148" t="s">
        <v>25</v>
      </c>
      <c r="U148">
        <v>150</v>
      </c>
      <c r="V148">
        <v>65</v>
      </c>
      <c r="W148">
        <v>1.8</v>
      </c>
      <c r="X148" t="s">
        <v>156</v>
      </c>
      <c r="Y148">
        <v>12.5</v>
      </c>
      <c r="Z148">
        <v>0.15</v>
      </c>
      <c r="AA148">
        <v>0.02</v>
      </c>
      <c r="AB148">
        <v>24600</v>
      </c>
      <c r="AC148">
        <v>24108</v>
      </c>
      <c r="AD148">
        <v>295.2</v>
      </c>
      <c r="AE148">
        <v>3616.2</v>
      </c>
      <c r="AF148">
        <v>3616</v>
      </c>
      <c r="AG148">
        <v>10660</v>
      </c>
      <c r="AH148">
        <v>6215.7999999999993</v>
      </c>
      <c r="AI148" s="5">
        <v>0.25783142525302799</v>
      </c>
    </row>
    <row r="149" spans="14:35" x14ac:dyDescent="0.25">
      <c r="N149" t="s">
        <v>165</v>
      </c>
      <c r="O149" s="1">
        <v>46145.083333333336</v>
      </c>
      <c r="P149" t="s">
        <v>22</v>
      </c>
      <c r="Q149" t="s">
        <v>155</v>
      </c>
      <c r="R149" t="s">
        <v>24</v>
      </c>
      <c r="S149">
        <v>162</v>
      </c>
      <c r="T149" t="s">
        <v>25</v>
      </c>
      <c r="U149">
        <v>150</v>
      </c>
      <c r="V149">
        <v>65</v>
      </c>
      <c r="W149">
        <v>1.8</v>
      </c>
      <c r="X149" t="s">
        <v>156</v>
      </c>
      <c r="Y149">
        <v>12.5</v>
      </c>
      <c r="Z149">
        <v>0.15</v>
      </c>
      <c r="AA149">
        <v>0.02</v>
      </c>
      <c r="AB149">
        <v>24300</v>
      </c>
      <c r="AC149">
        <v>23814</v>
      </c>
      <c r="AD149">
        <v>291.60000000000002</v>
      </c>
      <c r="AE149">
        <v>3572.1</v>
      </c>
      <c r="AF149">
        <v>3572</v>
      </c>
      <c r="AG149">
        <v>10530</v>
      </c>
      <c r="AH149">
        <v>6139.9000000000015</v>
      </c>
      <c r="AI149" s="5">
        <v>0.25782732846224898</v>
      </c>
    </row>
    <row r="150" spans="14:35" x14ac:dyDescent="0.25">
      <c r="N150" t="s">
        <v>166</v>
      </c>
      <c r="O150" s="1">
        <v>46145.875</v>
      </c>
      <c r="P150" t="s">
        <v>22</v>
      </c>
      <c r="Q150" t="s">
        <v>155</v>
      </c>
      <c r="R150" t="s">
        <v>29</v>
      </c>
      <c r="S150">
        <v>71</v>
      </c>
      <c r="T150" t="s">
        <v>25</v>
      </c>
      <c r="U150">
        <v>150</v>
      </c>
      <c r="V150">
        <v>65</v>
      </c>
      <c r="W150">
        <v>1.8</v>
      </c>
      <c r="X150" t="s">
        <v>156</v>
      </c>
      <c r="Y150">
        <v>12.5</v>
      </c>
      <c r="Z150">
        <v>0.15</v>
      </c>
      <c r="AA150">
        <v>0.1</v>
      </c>
      <c r="AB150">
        <v>10650</v>
      </c>
      <c r="AC150">
        <v>9585</v>
      </c>
      <c r="AD150">
        <v>127.8</v>
      </c>
      <c r="AE150">
        <v>1437.75</v>
      </c>
      <c r="AF150">
        <v>1438</v>
      </c>
      <c r="AG150">
        <v>4615</v>
      </c>
      <c r="AH150">
        <v>2094.25</v>
      </c>
      <c r="AI150" s="5">
        <v>0.21849243609807001</v>
      </c>
    </row>
    <row r="151" spans="14:35" x14ac:dyDescent="0.25">
      <c r="N151" t="s">
        <v>167</v>
      </c>
      <c r="O151" s="1">
        <v>46146</v>
      </c>
      <c r="P151" t="s">
        <v>22</v>
      </c>
      <c r="Q151" t="s">
        <v>155</v>
      </c>
      <c r="R151" t="s">
        <v>29</v>
      </c>
      <c r="S151">
        <v>66</v>
      </c>
      <c r="T151" t="s">
        <v>25</v>
      </c>
      <c r="U151">
        <v>150</v>
      </c>
      <c r="V151">
        <v>65</v>
      </c>
      <c r="W151">
        <v>1.8</v>
      </c>
      <c r="X151" t="s">
        <v>156</v>
      </c>
      <c r="Y151">
        <v>12.5</v>
      </c>
      <c r="Z151">
        <v>0.15</v>
      </c>
      <c r="AA151">
        <v>0.1</v>
      </c>
      <c r="AB151">
        <v>9900</v>
      </c>
      <c r="AC151">
        <v>8910</v>
      </c>
      <c r="AD151">
        <v>118.8</v>
      </c>
      <c r="AE151">
        <v>1336.5</v>
      </c>
      <c r="AF151">
        <v>1336</v>
      </c>
      <c r="AG151">
        <v>4290</v>
      </c>
      <c r="AH151">
        <v>1947.5</v>
      </c>
      <c r="AI151" s="5">
        <v>0.218574635241302</v>
      </c>
    </row>
    <row r="152" spans="14:35" x14ac:dyDescent="0.25">
      <c r="N152" t="s">
        <v>168</v>
      </c>
      <c r="O152" s="1">
        <v>46146.25</v>
      </c>
      <c r="P152" t="s">
        <v>22</v>
      </c>
      <c r="Q152" t="s">
        <v>155</v>
      </c>
      <c r="R152" t="s">
        <v>29</v>
      </c>
      <c r="S152">
        <v>197</v>
      </c>
      <c r="T152" t="s">
        <v>25</v>
      </c>
      <c r="U152">
        <v>150</v>
      </c>
      <c r="V152">
        <v>65</v>
      </c>
      <c r="W152">
        <v>1.8</v>
      </c>
      <c r="X152" t="s">
        <v>156</v>
      </c>
      <c r="Y152">
        <v>12.5</v>
      </c>
      <c r="Z152">
        <v>0.15</v>
      </c>
      <c r="AA152">
        <v>0.1</v>
      </c>
      <c r="AB152">
        <v>29550</v>
      </c>
      <c r="AC152">
        <v>26595</v>
      </c>
      <c r="AD152">
        <v>354.6</v>
      </c>
      <c r="AE152">
        <v>3989.25</v>
      </c>
      <c r="AF152">
        <v>3989</v>
      </c>
      <c r="AG152">
        <v>12805</v>
      </c>
      <c r="AH152">
        <v>5811.75</v>
      </c>
      <c r="AI152" s="5">
        <v>0.218527918781726</v>
      </c>
    </row>
    <row r="153" spans="14:35" x14ac:dyDescent="0.25">
      <c r="N153" t="s">
        <v>169</v>
      </c>
      <c r="O153" s="1">
        <v>46146.958333333336</v>
      </c>
      <c r="P153" t="s">
        <v>22</v>
      </c>
      <c r="Q153" t="s">
        <v>155</v>
      </c>
      <c r="R153" t="s">
        <v>24</v>
      </c>
      <c r="S153">
        <v>117</v>
      </c>
      <c r="T153" t="s">
        <v>25</v>
      </c>
      <c r="U153">
        <v>150</v>
      </c>
      <c r="V153">
        <v>65</v>
      </c>
      <c r="W153">
        <v>1.8</v>
      </c>
      <c r="X153" t="s">
        <v>156</v>
      </c>
      <c r="Y153">
        <v>12.5</v>
      </c>
      <c r="Z153">
        <v>0.15</v>
      </c>
      <c r="AA153">
        <v>0.02</v>
      </c>
      <c r="AB153">
        <v>17550</v>
      </c>
      <c r="AC153">
        <v>17199</v>
      </c>
      <c r="AD153">
        <v>210.6</v>
      </c>
      <c r="AE153">
        <v>2579.85</v>
      </c>
      <c r="AF153">
        <v>2580</v>
      </c>
      <c r="AG153">
        <v>7605</v>
      </c>
      <c r="AH153">
        <v>4434.1499999999996</v>
      </c>
      <c r="AI153" s="5">
        <v>0.25781440781440801</v>
      </c>
    </row>
    <row r="154" spans="14:35" x14ac:dyDescent="0.25">
      <c r="N154" t="s">
        <v>170</v>
      </c>
      <c r="O154" s="1">
        <v>46147.041666666664</v>
      </c>
      <c r="P154" t="s">
        <v>22</v>
      </c>
      <c r="Q154" t="s">
        <v>155</v>
      </c>
      <c r="R154" t="s">
        <v>29</v>
      </c>
      <c r="S154">
        <v>91</v>
      </c>
      <c r="T154" t="s">
        <v>25</v>
      </c>
      <c r="U154">
        <v>150</v>
      </c>
      <c r="V154">
        <v>65</v>
      </c>
      <c r="W154">
        <v>1.8</v>
      </c>
      <c r="X154" t="s">
        <v>156</v>
      </c>
      <c r="Y154">
        <v>12.5</v>
      </c>
      <c r="Z154">
        <v>0.15</v>
      </c>
      <c r="AA154">
        <v>0.1</v>
      </c>
      <c r="AB154">
        <v>13650</v>
      </c>
      <c r="AC154">
        <v>12285</v>
      </c>
      <c r="AD154">
        <v>163.80000000000001</v>
      </c>
      <c r="AE154">
        <v>1842.75</v>
      </c>
      <c r="AF154">
        <v>1843</v>
      </c>
      <c r="AG154">
        <v>5915</v>
      </c>
      <c r="AH154">
        <v>2684.25</v>
      </c>
      <c r="AI154" s="5">
        <v>0.218498168498168</v>
      </c>
    </row>
    <row r="155" spans="14:35" x14ac:dyDescent="0.25">
      <c r="N155" t="s">
        <v>171</v>
      </c>
      <c r="O155" s="1">
        <v>46147.166666666664</v>
      </c>
      <c r="P155" t="s">
        <v>22</v>
      </c>
      <c r="Q155" t="s">
        <v>155</v>
      </c>
      <c r="R155" t="s">
        <v>29</v>
      </c>
      <c r="S155">
        <v>105</v>
      </c>
      <c r="T155" t="s">
        <v>25</v>
      </c>
      <c r="U155">
        <v>150</v>
      </c>
      <c r="V155">
        <v>65</v>
      </c>
      <c r="W155">
        <v>1.8</v>
      </c>
      <c r="X155" t="s">
        <v>156</v>
      </c>
      <c r="Y155">
        <v>12.5</v>
      </c>
      <c r="Z155">
        <v>0.15</v>
      </c>
      <c r="AA155">
        <v>0.1</v>
      </c>
      <c r="AB155">
        <v>15750</v>
      </c>
      <c r="AC155">
        <v>14175</v>
      </c>
      <c r="AD155">
        <v>189</v>
      </c>
      <c r="AE155">
        <v>2126.25</v>
      </c>
      <c r="AF155">
        <v>2126</v>
      </c>
      <c r="AG155">
        <v>6825</v>
      </c>
      <c r="AH155">
        <v>3097.75</v>
      </c>
      <c r="AI155" s="5">
        <v>0.21853615520282199</v>
      </c>
    </row>
    <row r="156" spans="14:35" x14ac:dyDescent="0.25">
      <c r="N156" t="s">
        <v>172</v>
      </c>
      <c r="O156" s="1">
        <v>46147.458333333336</v>
      </c>
      <c r="P156" t="s">
        <v>22</v>
      </c>
      <c r="Q156" t="s">
        <v>155</v>
      </c>
      <c r="R156" t="s">
        <v>24</v>
      </c>
      <c r="S156">
        <v>15</v>
      </c>
      <c r="T156" t="s">
        <v>25</v>
      </c>
      <c r="U156">
        <v>150</v>
      </c>
      <c r="V156">
        <v>65</v>
      </c>
      <c r="W156">
        <v>1.8</v>
      </c>
      <c r="X156" t="s">
        <v>156</v>
      </c>
      <c r="Y156">
        <v>12.5</v>
      </c>
      <c r="Z156">
        <v>0.15</v>
      </c>
      <c r="AA156">
        <v>0.02</v>
      </c>
      <c r="AB156">
        <v>2250</v>
      </c>
      <c r="AC156">
        <v>2205</v>
      </c>
      <c r="AD156">
        <v>27</v>
      </c>
      <c r="AE156">
        <v>330.75</v>
      </c>
      <c r="AF156">
        <v>331</v>
      </c>
      <c r="AG156">
        <v>975</v>
      </c>
      <c r="AH156">
        <v>568.25</v>
      </c>
      <c r="AI156" s="5">
        <v>0.25770975056689299</v>
      </c>
    </row>
    <row r="157" spans="14:35" x14ac:dyDescent="0.25">
      <c r="N157" t="s">
        <v>173</v>
      </c>
      <c r="O157" s="1">
        <v>46147.666666666664</v>
      </c>
      <c r="P157" t="s">
        <v>22</v>
      </c>
      <c r="Q157" t="s">
        <v>155</v>
      </c>
      <c r="R157" t="s">
        <v>32</v>
      </c>
      <c r="S157">
        <v>76</v>
      </c>
      <c r="T157" t="s">
        <v>25</v>
      </c>
      <c r="U157">
        <v>150</v>
      </c>
      <c r="V157">
        <v>65</v>
      </c>
      <c r="W157">
        <v>1.8</v>
      </c>
      <c r="X157" t="s">
        <v>156</v>
      </c>
      <c r="Y157">
        <v>12.5</v>
      </c>
      <c r="Z157">
        <v>0.15</v>
      </c>
      <c r="AA157">
        <v>0.05</v>
      </c>
      <c r="AB157">
        <v>11400</v>
      </c>
      <c r="AC157">
        <v>10830</v>
      </c>
      <c r="AD157">
        <v>136.80000000000001</v>
      </c>
      <c r="AE157">
        <v>1624.5</v>
      </c>
      <c r="AF157">
        <v>1624</v>
      </c>
      <c r="AG157">
        <v>4940</v>
      </c>
      <c r="AH157">
        <v>2641.5</v>
      </c>
      <c r="AI157" s="5">
        <v>0.24390581717451501</v>
      </c>
    </row>
    <row r="158" spans="14:35" x14ac:dyDescent="0.25">
      <c r="N158" t="s">
        <v>174</v>
      </c>
      <c r="O158" s="1">
        <v>46148.041666666664</v>
      </c>
      <c r="P158" t="s">
        <v>22</v>
      </c>
      <c r="Q158" t="s">
        <v>155</v>
      </c>
      <c r="R158" t="s">
        <v>24</v>
      </c>
      <c r="S158">
        <v>95</v>
      </c>
      <c r="T158" t="s">
        <v>25</v>
      </c>
      <c r="U158">
        <v>150</v>
      </c>
      <c r="V158">
        <v>65</v>
      </c>
      <c r="W158">
        <v>1.8</v>
      </c>
      <c r="X158" t="s">
        <v>156</v>
      </c>
      <c r="Y158">
        <v>12.5</v>
      </c>
      <c r="Z158">
        <v>0.15</v>
      </c>
      <c r="AA158">
        <v>0.02</v>
      </c>
      <c r="AB158">
        <v>14250</v>
      </c>
      <c r="AC158">
        <v>13965</v>
      </c>
      <c r="AD158">
        <v>171</v>
      </c>
      <c r="AE158">
        <v>2094.75</v>
      </c>
      <c r="AF158">
        <v>2095</v>
      </c>
      <c r="AG158">
        <v>6175</v>
      </c>
      <c r="AH158">
        <v>3600.25</v>
      </c>
      <c r="AI158" s="5">
        <v>0.2578052273541</v>
      </c>
    </row>
    <row r="159" spans="14:35" x14ac:dyDescent="0.25">
      <c r="N159" t="s">
        <v>175</v>
      </c>
      <c r="O159" s="1">
        <v>46148.5</v>
      </c>
      <c r="P159" t="s">
        <v>22</v>
      </c>
      <c r="Q159" t="s">
        <v>155</v>
      </c>
      <c r="R159" t="s">
        <v>29</v>
      </c>
      <c r="S159">
        <v>28</v>
      </c>
      <c r="T159" t="s">
        <v>25</v>
      </c>
      <c r="U159">
        <v>150</v>
      </c>
      <c r="V159">
        <v>65</v>
      </c>
      <c r="W159">
        <v>1.8</v>
      </c>
      <c r="X159" t="s">
        <v>156</v>
      </c>
      <c r="Y159">
        <v>12.5</v>
      </c>
      <c r="Z159">
        <v>0.15</v>
      </c>
      <c r="AA159">
        <v>0.1</v>
      </c>
      <c r="AB159">
        <v>4200</v>
      </c>
      <c r="AC159">
        <v>3780</v>
      </c>
      <c r="AD159">
        <v>50.4</v>
      </c>
      <c r="AE159">
        <v>567</v>
      </c>
      <c r="AF159">
        <v>567</v>
      </c>
      <c r="AG159">
        <v>1820</v>
      </c>
      <c r="AH159">
        <v>826</v>
      </c>
      <c r="AI159" s="5">
        <v>0.218518518518519</v>
      </c>
    </row>
    <row r="160" spans="14:35" x14ac:dyDescent="0.25">
      <c r="N160" t="s">
        <v>176</v>
      </c>
      <c r="O160" s="1">
        <v>46148.791666666664</v>
      </c>
      <c r="P160" t="s">
        <v>22</v>
      </c>
      <c r="Q160" t="s">
        <v>155</v>
      </c>
      <c r="R160" t="s">
        <v>29</v>
      </c>
      <c r="S160">
        <v>13</v>
      </c>
      <c r="T160" t="s">
        <v>25</v>
      </c>
      <c r="U160">
        <v>150</v>
      </c>
      <c r="V160">
        <v>65</v>
      </c>
      <c r="W160">
        <v>1.8</v>
      </c>
      <c r="X160" t="s">
        <v>156</v>
      </c>
      <c r="Y160">
        <v>12.5</v>
      </c>
      <c r="Z160">
        <v>0.15</v>
      </c>
      <c r="AA160">
        <v>0.1</v>
      </c>
      <c r="AB160">
        <v>1950</v>
      </c>
      <c r="AC160">
        <v>1755</v>
      </c>
      <c r="AD160">
        <v>23.400000000000002</v>
      </c>
      <c r="AE160">
        <v>263.25</v>
      </c>
      <c r="AF160">
        <v>263</v>
      </c>
      <c r="AG160">
        <v>845</v>
      </c>
      <c r="AH160">
        <v>383.75</v>
      </c>
      <c r="AI160" s="5">
        <v>0.21866096866096901</v>
      </c>
    </row>
    <row r="161" spans="14:35" x14ac:dyDescent="0.25">
      <c r="N161" t="s">
        <v>177</v>
      </c>
      <c r="O161" s="1">
        <v>46149.291666666664</v>
      </c>
      <c r="P161" t="s">
        <v>22</v>
      </c>
      <c r="Q161" t="s">
        <v>155</v>
      </c>
      <c r="R161" t="s">
        <v>29</v>
      </c>
      <c r="S161">
        <v>86</v>
      </c>
      <c r="T161" t="s">
        <v>25</v>
      </c>
      <c r="U161">
        <v>150</v>
      </c>
      <c r="V161">
        <v>65</v>
      </c>
      <c r="W161">
        <v>1.8</v>
      </c>
      <c r="X161" t="s">
        <v>156</v>
      </c>
      <c r="Y161">
        <v>12.5</v>
      </c>
      <c r="Z161">
        <v>0.15</v>
      </c>
      <c r="AA161">
        <v>0.1</v>
      </c>
      <c r="AB161">
        <v>12900</v>
      </c>
      <c r="AC161">
        <v>11610</v>
      </c>
      <c r="AD161">
        <v>154.80000000000001</v>
      </c>
      <c r="AE161">
        <v>1741.5</v>
      </c>
      <c r="AF161">
        <v>1742</v>
      </c>
      <c r="AG161">
        <v>5590</v>
      </c>
      <c r="AH161">
        <v>2536.5</v>
      </c>
      <c r="AI161" s="5">
        <v>0.21847545219638201</v>
      </c>
    </row>
    <row r="162" spans="14:35" x14ac:dyDescent="0.25">
      <c r="N162" t="s">
        <v>178</v>
      </c>
      <c r="O162" s="1">
        <v>46149.375</v>
      </c>
      <c r="P162" t="s">
        <v>22</v>
      </c>
      <c r="Q162" t="s">
        <v>155</v>
      </c>
      <c r="R162" t="s">
        <v>29</v>
      </c>
      <c r="S162">
        <v>175</v>
      </c>
      <c r="T162" t="s">
        <v>25</v>
      </c>
      <c r="U162">
        <v>150</v>
      </c>
      <c r="V162">
        <v>65</v>
      </c>
      <c r="W162">
        <v>1.8</v>
      </c>
      <c r="X162" t="s">
        <v>156</v>
      </c>
      <c r="Y162">
        <v>12.5</v>
      </c>
      <c r="Z162">
        <v>0.15</v>
      </c>
      <c r="AA162">
        <v>0.1</v>
      </c>
      <c r="AB162">
        <v>26250</v>
      </c>
      <c r="AC162">
        <v>23625</v>
      </c>
      <c r="AD162">
        <v>315</v>
      </c>
      <c r="AE162">
        <v>3543.75</v>
      </c>
      <c r="AF162">
        <v>3544</v>
      </c>
      <c r="AG162">
        <v>11375</v>
      </c>
      <c r="AH162">
        <v>5162.25</v>
      </c>
      <c r="AI162" s="5">
        <v>0.21850793650793601</v>
      </c>
    </row>
    <row r="163" spans="14:35" x14ac:dyDescent="0.25">
      <c r="N163" t="s">
        <v>179</v>
      </c>
      <c r="O163" s="1">
        <v>46150.208333333336</v>
      </c>
      <c r="P163" t="s">
        <v>22</v>
      </c>
      <c r="Q163" t="s">
        <v>155</v>
      </c>
      <c r="R163" t="s">
        <v>29</v>
      </c>
      <c r="S163">
        <v>48</v>
      </c>
      <c r="T163" t="s">
        <v>25</v>
      </c>
      <c r="U163">
        <v>150</v>
      </c>
      <c r="V163">
        <v>65</v>
      </c>
      <c r="W163">
        <v>1.8</v>
      </c>
      <c r="X163" t="s">
        <v>156</v>
      </c>
      <c r="Y163">
        <v>12.5</v>
      </c>
      <c r="Z163">
        <v>0.15</v>
      </c>
      <c r="AA163">
        <v>0.1</v>
      </c>
      <c r="AB163">
        <v>7200</v>
      </c>
      <c r="AC163">
        <v>6480</v>
      </c>
      <c r="AD163">
        <v>86.4</v>
      </c>
      <c r="AE163">
        <v>972</v>
      </c>
      <c r="AF163">
        <v>972</v>
      </c>
      <c r="AG163">
        <v>3120</v>
      </c>
      <c r="AH163">
        <v>1416</v>
      </c>
      <c r="AI163" s="5">
        <v>0.218518518518519</v>
      </c>
    </row>
    <row r="164" spans="14:35" x14ac:dyDescent="0.25">
      <c r="N164" t="s">
        <v>180</v>
      </c>
      <c r="O164" s="1">
        <v>46150.875</v>
      </c>
      <c r="P164" t="s">
        <v>22</v>
      </c>
      <c r="Q164" t="s">
        <v>155</v>
      </c>
      <c r="R164" t="s">
        <v>32</v>
      </c>
      <c r="S164">
        <v>112</v>
      </c>
      <c r="T164" t="s">
        <v>25</v>
      </c>
      <c r="U164">
        <v>150</v>
      </c>
      <c r="V164">
        <v>65</v>
      </c>
      <c r="W164">
        <v>1.8</v>
      </c>
      <c r="X164" t="s">
        <v>156</v>
      </c>
      <c r="Y164">
        <v>12.5</v>
      </c>
      <c r="Z164">
        <v>0.15</v>
      </c>
      <c r="AA164">
        <v>0.05</v>
      </c>
      <c r="AB164">
        <v>16800</v>
      </c>
      <c r="AC164">
        <v>15960</v>
      </c>
      <c r="AD164">
        <v>201.6</v>
      </c>
      <c r="AE164">
        <v>2394</v>
      </c>
      <c r="AF164">
        <v>2394</v>
      </c>
      <c r="AG164">
        <v>7280</v>
      </c>
      <c r="AH164">
        <v>3892</v>
      </c>
      <c r="AI164" s="5">
        <v>0.243859649122807</v>
      </c>
    </row>
    <row r="165" spans="14:35" x14ac:dyDescent="0.25">
      <c r="N165" t="s">
        <v>181</v>
      </c>
      <c r="O165" s="1">
        <v>46151.125</v>
      </c>
      <c r="P165" t="s">
        <v>22</v>
      </c>
      <c r="Q165" t="s">
        <v>155</v>
      </c>
      <c r="R165" t="s">
        <v>32</v>
      </c>
      <c r="S165">
        <v>42</v>
      </c>
      <c r="T165" t="s">
        <v>25</v>
      </c>
      <c r="U165">
        <v>150</v>
      </c>
      <c r="V165">
        <v>65</v>
      </c>
      <c r="W165">
        <v>1.8</v>
      </c>
      <c r="X165" t="s">
        <v>156</v>
      </c>
      <c r="Y165">
        <v>12.5</v>
      </c>
      <c r="Z165">
        <v>0.15</v>
      </c>
      <c r="AA165">
        <v>0.05</v>
      </c>
      <c r="AB165">
        <v>6300</v>
      </c>
      <c r="AC165">
        <v>5985</v>
      </c>
      <c r="AD165">
        <v>75.600000000000009</v>
      </c>
      <c r="AE165">
        <v>897.75</v>
      </c>
      <c r="AF165">
        <v>898</v>
      </c>
      <c r="AG165">
        <v>2730</v>
      </c>
      <c r="AH165">
        <v>1459.25</v>
      </c>
      <c r="AI165" s="5">
        <v>0.24381787802840399</v>
      </c>
    </row>
    <row r="166" spans="14:35" x14ac:dyDescent="0.25">
      <c r="N166" t="s">
        <v>182</v>
      </c>
      <c r="O166" s="1">
        <v>46151.416666666664</v>
      </c>
      <c r="P166" t="s">
        <v>22</v>
      </c>
      <c r="Q166" t="s">
        <v>155</v>
      </c>
      <c r="R166" t="s">
        <v>32</v>
      </c>
      <c r="S166">
        <v>76</v>
      </c>
      <c r="T166" t="s">
        <v>25</v>
      </c>
      <c r="U166">
        <v>150</v>
      </c>
      <c r="V166">
        <v>65</v>
      </c>
      <c r="W166">
        <v>1.8</v>
      </c>
      <c r="X166" t="s">
        <v>156</v>
      </c>
      <c r="Y166">
        <v>12.5</v>
      </c>
      <c r="Z166">
        <v>0.15</v>
      </c>
      <c r="AA166">
        <v>0.05</v>
      </c>
      <c r="AB166">
        <v>11400</v>
      </c>
      <c r="AC166">
        <v>10830</v>
      </c>
      <c r="AD166">
        <v>136.80000000000001</v>
      </c>
      <c r="AE166">
        <v>1624.5</v>
      </c>
      <c r="AF166">
        <v>1624</v>
      </c>
      <c r="AG166">
        <v>4940</v>
      </c>
      <c r="AH166">
        <v>2641.5</v>
      </c>
      <c r="AI166" s="5">
        <v>0.24390581717451501</v>
      </c>
    </row>
    <row r="167" spans="14:35" x14ac:dyDescent="0.25">
      <c r="N167" t="s">
        <v>183</v>
      </c>
      <c r="O167" s="1">
        <v>46151.541666666664</v>
      </c>
      <c r="P167" t="s">
        <v>22</v>
      </c>
      <c r="Q167" t="s">
        <v>155</v>
      </c>
      <c r="R167" t="s">
        <v>24</v>
      </c>
      <c r="S167">
        <v>183</v>
      </c>
      <c r="T167" t="s">
        <v>25</v>
      </c>
      <c r="U167">
        <v>150</v>
      </c>
      <c r="V167">
        <v>65</v>
      </c>
      <c r="W167">
        <v>1.8</v>
      </c>
      <c r="X167" t="s">
        <v>156</v>
      </c>
      <c r="Y167">
        <v>12.5</v>
      </c>
      <c r="Z167">
        <v>0.15</v>
      </c>
      <c r="AA167">
        <v>0.02</v>
      </c>
      <c r="AB167">
        <v>27450</v>
      </c>
      <c r="AC167">
        <v>26901</v>
      </c>
      <c r="AD167">
        <v>329.40000000000003</v>
      </c>
      <c r="AE167">
        <v>4035.1499999999996</v>
      </c>
      <c r="AF167">
        <v>4035</v>
      </c>
      <c r="AG167">
        <v>11895</v>
      </c>
      <c r="AH167">
        <v>6935.8499999999985</v>
      </c>
      <c r="AI167" s="5">
        <v>0.25782870525259299</v>
      </c>
    </row>
    <row r="168" spans="14:35" x14ac:dyDescent="0.25">
      <c r="N168" t="s">
        <v>184</v>
      </c>
      <c r="O168" s="1">
        <v>46152</v>
      </c>
      <c r="P168" t="s">
        <v>22</v>
      </c>
      <c r="Q168" t="s">
        <v>155</v>
      </c>
      <c r="R168" t="s">
        <v>24</v>
      </c>
      <c r="S168">
        <v>73</v>
      </c>
      <c r="T168" t="s">
        <v>25</v>
      </c>
      <c r="U168">
        <v>150</v>
      </c>
      <c r="V168">
        <v>65</v>
      </c>
      <c r="W168">
        <v>1.8</v>
      </c>
      <c r="X168" t="s">
        <v>156</v>
      </c>
      <c r="Y168">
        <v>12.5</v>
      </c>
      <c r="Z168">
        <v>0.15</v>
      </c>
      <c r="AA168">
        <v>0.02</v>
      </c>
      <c r="AB168">
        <v>10950</v>
      </c>
      <c r="AC168">
        <v>10731</v>
      </c>
      <c r="AD168">
        <v>131.4</v>
      </c>
      <c r="AE168">
        <v>1609.6499999999999</v>
      </c>
      <c r="AF168">
        <v>1610</v>
      </c>
      <c r="AG168">
        <v>4745</v>
      </c>
      <c r="AH168">
        <v>2766.3500000000004</v>
      </c>
      <c r="AI168" s="5">
        <v>0.25779051346566001</v>
      </c>
    </row>
    <row r="169" spans="14:35" x14ac:dyDescent="0.25">
      <c r="N169" t="s">
        <v>185</v>
      </c>
      <c r="O169" s="1">
        <v>46152.125</v>
      </c>
      <c r="P169" t="s">
        <v>22</v>
      </c>
      <c r="Q169" t="s">
        <v>155</v>
      </c>
      <c r="R169" t="s">
        <v>29</v>
      </c>
      <c r="S169">
        <v>49</v>
      </c>
      <c r="T169" t="s">
        <v>25</v>
      </c>
      <c r="U169">
        <v>150</v>
      </c>
      <c r="V169">
        <v>65</v>
      </c>
      <c r="W169">
        <v>1.8</v>
      </c>
      <c r="X169" t="s">
        <v>156</v>
      </c>
      <c r="Y169">
        <v>12.5</v>
      </c>
      <c r="Z169">
        <v>0.15</v>
      </c>
      <c r="AA169">
        <v>0.1</v>
      </c>
      <c r="AB169">
        <v>7350</v>
      </c>
      <c r="AC169">
        <v>6615</v>
      </c>
      <c r="AD169">
        <v>88.2</v>
      </c>
      <c r="AE169">
        <v>992.25</v>
      </c>
      <c r="AF169">
        <v>992</v>
      </c>
      <c r="AG169">
        <v>3185</v>
      </c>
      <c r="AH169">
        <v>1445.75</v>
      </c>
      <c r="AI169" s="5">
        <v>0.218556311413454</v>
      </c>
    </row>
    <row r="170" spans="14:35" x14ac:dyDescent="0.25">
      <c r="N170" t="s">
        <v>186</v>
      </c>
      <c r="O170" s="1">
        <v>46152.791666666664</v>
      </c>
      <c r="P170" t="s">
        <v>22</v>
      </c>
      <c r="Q170" t="s">
        <v>155</v>
      </c>
      <c r="R170" t="s">
        <v>29</v>
      </c>
      <c r="S170">
        <v>96</v>
      </c>
      <c r="T170" t="s">
        <v>25</v>
      </c>
      <c r="U170">
        <v>150</v>
      </c>
      <c r="V170">
        <v>65</v>
      </c>
      <c r="W170">
        <v>1.8</v>
      </c>
      <c r="X170" t="s">
        <v>156</v>
      </c>
      <c r="Y170">
        <v>12.5</v>
      </c>
      <c r="Z170">
        <v>0.15</v>
      </c>
      <c r="AA170">
        <v>0.1</v>
      </c>
      <c r="AB170">
        <v>14400</v>
      </c>
      <c r="AC170">
        <v>12960</v>
      </c>
      <c r="AD170">
        <v>172.8</v>
      </c>
      <c r="AE170">
        <v>1944</v>
      </c>
      <c r="AF170">
        <v>1944</v>
      </c>
      <c r="AG170">
        <v>6240</v>
      </c>
      <c r="AH170">
        <v>2832</v>
      </c>
      <c r="AI170" s="5">
        <v>0.218518518518519</v>
      </c>
    </row>
    <row r="171" spans="14:35" x14ac:dyDescent="0.25">
      <c r="N171" t="s">
        <v>187</v>
      </c>
      <c r="O171" s="1">
        <v>46152.916666666664</v>
      </c>
      <c r="P171" t="s">
        <v>22</v>
      </c>
      <c r="Q171" t="s">
        <v>155</v>
      </c>
      <c r="R171" t="s">
        <v>24</v>
      </c>
      <c r="S171">
        <v>19</v>
      </c>
      <c r="T171" t="s">
        <v>25</v>
      </c>
      <c r="U171">
        <v>150</v>
      </c>
      <c r="V171">
        <v>65</v>
      </c>
      <c r="W171">
        <v>1.8</v>
      </c>
      <c r="X171" t="s">
        <v>156</v>
      </c>
      <c r="Y171">
        <v>12.5</v>
      </c>
      <c r="Z171">
        <v>0.15</v>
      </c>
      <c r="AA171">
        <v>0.02</v>
      </c>
      <c r="AB171">
        <v>2850</v>
      </c>
      <c r="AC171">
        <v>2793</v>
      </c>
      <c r="AD171">
        <v>34.200000000000003</v>
      </c>
      <c r="AE171">
        <v>418.95</v>
      </c>
      <c r="AF171">
        <v>419</v>
      </c>
      <c r="AG171">
        <v>1235</v>
      </c>
      <c r="AH171">
        <v>720.05000000000018</v>
      </c>
      <c r="AI171" s="5">
        <v>0.2578052273541</v>
      </c>
    </row>
    <row r="172" spans="14:35" x14ac:dyDescent="0.25">
      <c r="N172" t="s">
        <v>188</v>
      </c>
      <c r="O172" s="1">
        <v>46153.083333333336</v>
      </c>
      <c r="P172" t="s">
        <v>22</v>
      </c>
      <c r="Q172" t="s">
        <v>155</v>
      </c>
      <c r="R172" t="s">
        <v>29</v>
      </c>
      <c r="S172">
        <v>189</v>
      </c>
      <c r="T172" t="s">
        <v>25</v>
      </c>
      <c r="U172">
        <v>150</v>
      </c>
      <c r="V172">
        <v>65</v>
      </c>
      <c r="W172">
        <v>1.8</v>
      </c>
      <c r="X172" t="s">
        <v>156</v>
      </c>
      <c r="Y172">
        <v>12.5</v>
      </c>
      <c r="Z172">
        <v>0.15</v>
      </c>
      <c r="AA172">
        <v>0.1</v>
      </c>
      <c r="AB172">
        <v>28350</v>
      </c>
      <c r="AC172">
        <v>25515</v>
      </c>
      <c r="AD172">
        <v>340.2</v>
      </c>
      <c r="AE172">
        <v>3827.25</v>
      </c>
      <c r="AF172">
        <v>3827</v>
      </c>
      <c r="AG172">
        <v>12285</v>
      </c>
      <c r="AH172">
        <v>5575.75</v>
      </c>
      <c r="AI172" s="5">
        <v>0.218528316676465</v>
      </c>
    </row>
    <row r="173" spans="14:35" x14ac:dyDescent="0.25">
      <c r="N173" t="s">
        <v>189</v>
      </c>
      <c r="O173" s="1">
        <v>46153.833333333336</v>
      </c>
      <c r="P173" t="s">
        <v>22</v>
      </c>
      <c r="Q173" t="s">
        <v>155</v>
      </c>
      <c r="R173" t="s">
        <v>24</v>
      </c>
      <c r="S173">
        <v>76</v>
      </c>
      <c r="T173" t="s">
        <v>25</v>
      </c>
      <c r="U173">
        <v>150</v>
      </c>
      <c r="V173">
        <v>65</v>
      </c>
      <c r="W173">
        <v>1.8</v>
      </c>
      <c r="X173" t="s">
        <v>156</v>
      </c>
      <c r="Y173">
        <v>12.5</v>
      </c>
      <c r="Z173">
        <v>0.15</v>
      </c>
      <c r="AA173">
        <v>0.02</v>
      </c>
      <c r="AB173">
        <v>11400</v>
      </c>
      <c r="AC173">
        <v>11172</v>
      </c>
      <c r="AD173">
        <v>136.80000000000001</v>
      </c>
      <c r="AE173">
        <v>1675.8</v>
      </c>
      <c r="AF173">
        <v>1676</v>
      </c>
      <c r="AG173">
        <v>4940</v>
      </c>
      <c r="AH173">
        <v>2880.2000000000007</v>
      </c>
      <c r="AI173" s="5">
        <v>0.2578052273541</v>
      </c>
    </row>
    <row r="174" spans="14:35" x14ac:dyDescent="0.25">
      <c r="N174" t="s">
        <v>190</v>
      </c>
      <c r="O174" s="1">
        <v>46154.833333333336</v>
      </c>
      <c r="P174" t="s">
        <v>22</v>
      </c>
      <c r="Q174" t="s">
        <v>155</v>
      </c>
      <c r="R174" t="s">
        <v>24</v>
      </c>
      <c r="S174">
        <v>197</v>
      </c>
      <c r="T174" t="s">
        <v>25</v>
      </c>
      <c r="U174">
        <v>150</v>
      </c>
      <c r="V174">
        <v>65</v>
      </c>
      <c r="W174">
        <v>1.8</v>
      </c>
      <c r="X174" t="s">
        <v>156</v>
      </c>
      <c r="Y174">
        <v>12.5</v>
      </c>
      <c r="Z174">
        <v>0.15</v>
      </c>
      <c r="AA174">
        <v>0.02</v>
      </c>
      <c r="AB174">
        <v>29550</v>
      </c>
      <c r="AC174">
        <v>28959</v>
      </c>
      <c r="AD174">
        <v>354.6</v>
      </c>
      <c r="AE174">
        <v>4343.8499999999995</v>
      </c>
      <c r="AF174">
        <v>4344</v>
      </c>
      <c r="AG174">
        <v>12805</v>
      </c>
      <c r="AH174">
        <v>7466.1500000000015</v>
      </c>
      <c r="AI174" s="5">
        <v>0.257817949514831</v>
      </c>
    </row>
    <row r="175" spans="14:35" x14ac:dyDescent="0.25">
      <c r="N175" t="s">
        <v>191</v>
      </c>
      <c r="O175" s="1">
        <v>46155.416666666664</v>
      </c>
      <c r="P175" t="s">
        <v>22</v>
      </c>
      <c r="Q175" t="s">
        <v>155</v>
      </c>
      <c r="R175" t="s">
        <v>29</v>
      </c>
      <c r="S175">
        <v>29</v>
      </c>
      <c r="T175" t="s">
        <v>25</v>
      </c>
      <c r="U175">
        <v>150</v>
      </c>
      <c r="V175">
        <v>65</v>
      </c>
      <c r="W175">
        <v>1.8</v>
      </c>
      <c r="X175" t="s">
        <v>156</v>
      </c>
      <c r="Y175">
        <v>12.5</v>
      </c>
      <c r="Z175">
        <v>0.15</v>
      </c>
      <c r="AA175">
        <v>0.1</v>
      </c>
      <c r="AB175">
        <v>4350</v>
      </c>
      <c r="AC175">
        <v>3915</v>
      </c>
      <c r="AD175">
        <v>52.2</v>
      </c>
      <c r="AE175">
        <v>587.25</v>
      </c>
      <c r="AF175">
        <v>587</v>
      </c>
      <c r="AG175">
        <v>1885</v>
      </c>
      <c r="AH175">
        <v>855.75</v>
      </c>
      <c r="AI175" s="5">
        <v>0.218582375478927</v>
      </c>
    </row>
    <row r="176" spans="14:35" x14ac:dyDescent="0.25">
      <c r="N176" t="s">
        <v>192</v>
      </c>
      <c r="O176" s="1">
        <v>46155.5</v>
      </c>
      <c r="P176" t="s">
        <v>22</v>
      </c>
      <c r="Q176" t="s">
        <v>155</v>
      </c>
      <c r="R176" t="s">
        <v>29</v>
      </c>
      <c r="S176">
        <v>84</v>
      </c>
      <c r="T176" t="s">
        <v>25</v>
      </c>
      <c r="U176">
        <v>150</v>
      </c>
      <c r="V176">
        <v>65</v>
      </c>
      <c r="W176">
        <v>1.8</v>
      </c>
      <c r="X176" t="s">
        <v>156</v>
      </c>
      <c r="Y176">
        <v>12.5</v>
      </c>
      <c r="Z176">
        <v>0.15</v>
      </c>
      <c r="AA176">
        <v>0.1</v>
      </c>
      <c r="AB176">
        <v>12600</v>
      </c>
      <c r="AC176">
        <v>11340</v>
      </c>
      <c r="AD176">
        <v>151.20000000000002</v>
      </c>
      <c r="AE176">
        <v>1701</v>
      </c>
      <c r="AF176">
        <v>1701</v>
      </c>
      <c r="AG176">
        <v>5460</v>
      </c>
      <c r="AH176">
        <v>2478</v>
      </c>
      <c r="AI176" s="5">
        <v>0.218518518518519</v>
      </c>
    </row>
    <row r="177" spans="14:35" x14ac:dyDescent="0.25">
      <c r="N177" t="s">
        <v>193</v>
      </c>
      <c r="O177" s="1">
        <v>46155.833333333336</v>
      </c>
      <c r="P177" t="s">
        <v>22</v>
      </c>
      <c r="Q177" t="s">
        <v>155</v>
      </c>
      <c r="R177" t="s">
        <v>32</v>
      </c>
      <c r="S177">
        <v>192</v>
      </c>
      <c r="T177" t="s">
        <v>25</v>
      </c>
      <c r="U177">
        <v>150</v>
      </c>
      <c r="V177">
        <v>65</v>
      </c>
      <c r="W177">
        <v>1.8</v>
      </c>
      <c r="X177" t="s">
        <v>156</v>
      </c>
      <c r="Y177">
        <v>12.5</v>
      </c>
      <c r="Z177">
        <v>0.15</v>
      </c>
      <c r="AA177">
        <v>0.05</v>
      </c>
      <c r="AB177">
        <v>28800</v>
      </c>
      <c r="AC177">
        <v>27360</v>
      </c>
      <c r="AD177">
        <v>345.6</v>
      </c>
      <c r="AE177">
        <v>4104</v>
      </c>
      <c r="AF177">
        <v>4104</v>
      </c>
      <c r="AG177">
        <v>12480</v>
      </c>
      <c r="AH177">
        <v>6672</v>
      </c>
      <c r="AI177" s="5">
        <v>0.243859649122807</v>
      </c>
    </row>
    <row r="178" spans="14:35" x14ac:dyDescent="0.25">
      <c r="N178" t="s">
        <v>194</v>
      </c>
      <c r="O178" s="1">
        <v>46155.875</v>
      </c>
      <c r="P178" t="s">
        <v>22</v>
      </c>
      <c r="Q178" t="s">
        <v>155</v>
      </c>
      <c r="R178" t="s">
        <v>24</v>
      </c>
      <c r="S178">
        <v>11</v>
      </c>
      <c r="T178" t="s">
        <v>25</v>
      </c>
      <c r="U178">
        <v>150</v>
      </c>
      <c r="V178">
        <v>65</v>
      </c>
      <c r="W178">
        <v>1.8</v>
      </c>
      <c r="X178" t="s">
        <v>156</v>
      </c>
      <c r="Y178">
        <v>12.5</v>
      </c>
      <c r="Z178">
        <v>0.15</v>
      </c>
      <c r="AA178">
        <v>0.02</v>
      </c>
      <c r="AB178">
        <v>1650</v>
      </c>
      <c r="AC178">
        <v>1617</v>
      </c>
      <c r="AD178">
        <v>19.8</v>
      </c>
      <c r="AE178">
        <v>242.54999999999998</v>
      </c>
      <c r="AF178">
        <v>243</v>
      </c>
      <c r="AG178">
        <v>715</v>
      </c>
      <c r="AH178">
        <v>416.45000000000005</v>
      </c>
      <c r="AI178" s="5">
        <v>0.257544836116265</v>
      </c>
    </row>
    <row r="179" spans="14:35" x14ac:dyDescent="0.25">
      <c r="N179" t="s">
        <v>195</v>
      </c>
      <c r="O179" s="1">
        <v>46156.125</v>
      </c>
      <c r="P179" t="s">
        <v>22</v>
      </c>
      <c r="Q179" t="s">
        <v>155</v>
      </c>
      <c r="R179" t="s">
        <v>24</v>
      </c>
      <c r="S179">
        <v>115</v>
      </c>
      <c r="T179" t="s">
        <v>25</v>
      </c>
      <c r="U179">
        <v>150</v>
      </c>
      <c r="V179">
        <v>65</v>
      </c>
      <c r="W179">
        <v>1.8</v>
      </c>
      <c r="X179" t="s">
        <v>156</v>
      </c>
      <c r="Y179">
        <v>12.5</v>
      </c>
      <c r="Z179">
        <v>0.15</v>
      </c>
      <c r="AA179">
        <v>0.02</v>
      </c>
      <c r="AB179">
        <v>17250</v>
      </c>
      <c r="AC179">
        <v>16905</v>
      </c>
      <c r="AD179">
        <v>207</v>
      </c>
      <c r="AE179">
        <v>2535.75</v>
      </c>
      <c r="AF179">
        <v>2536</v>
      </c>
      <c r="AG179">
        <v>7475</v>
      </c>
      <c r="AH179">
        <v>4358.25</v>
      </c>
      <c r="AI179" s="5">
        <v>0.25780834072759501</v>
      </c>
    </row>
    <row r="180" spans="14:35" x14ac:dyDescent="0.25">
      <c r="N180" t="s">
        <v>196</v>
      </c>
      <c r="O180" s="1">
        <v>46156.333333333336</v>
      </c>
      <c r="P180" t="s">
        <v>22</v>
      </c>
      <c r="Q180" t="s">
        <v>155</v>
      </c>
      <c r="R180" t="s">
        <v>24</v>
      </c>
      <c r="S180">
        <v>59</v>
      </c>
      <c r="T180" t="s">
        <v>25</v>
      </c>
      <c r="U180">
        <v>150</v>
      </c>
      <c r="V180">
        <v>65</v>
      </c>
      <c r="W180">
        <v>1.8</v>
      </c>
      <c r="X180" t="s">
        <v>156</v>
      </c>
      <c r="Y180">
        <v>12.5</v>
      </c>
      <c r="Z180">
        <v>0.15</v>
      </c>
      <c r="AA180">
        <v>0.02</v>
      </c>
      <c r="AB180">
        <v>8850</v>
      </c>
      <c r="AC180">
        <v>8673</v>
      </c>
      <c r="AD180">
        <v>106.2</v>
      </c>
      <c r="AE180">
        <v>1300.95</v>
      </c>
      <c r="AF180">
        <v>1301</v>
      </c>
      <c r="AG180">
        <v>3835</v>
      </c>
      <c r="AH180">
        <v>2236.0500000000002</v>
      </c>
      <c r="AI180" s="5">
        <v>0.25781736423382901</v>
      </c>
    </row>
    <row r="181" spans="14:35" x14ac:dyDescent="0.25">
      <c r="N181" t="s">
        <v>197</v>
      </c>
      <c r="O181" s="1">
        <v>46156.416666666664</v>
      </c>
      <c r="P181" t="s">
        <v>22</v>
      </c>
      <c r="Q181" t="s">
        <v>155</v>
      </c>
      <c r="R181" t="s">
        <v>29</v>
      </c>
      <c r="S181">
        <v>61</v>
      </c>
      <c r="T181" t="s">
        <v>25</v>
      </c>
      <c r="U181">
        <v>150</v>
      </c>
      <c r="V181">
        <v>65</v>
      </c>
      <c r="W181">
        <v>1.8</v>
      </c>
      <c r="X181" t="s">
        <v>156</v>
      </c>
      <c r="Y181">
        <v>12.5</v>
      </c>
      <c r="Z181">
        <v>0.15</v>
      </c>
      <c r="AA181">
        <v>0.1</v>
      </c>
      <c r="AB181">
        <v>9150</v>
      </c>
      <c r="AC181">
        <v>8235</v>
      </c>
      <c r="AD181">
        <v>109.8</v>
      </c>
      <c r="AE181">
        <v>1235.25</v>
      </c>
      <c r="AF181">
        <v>1235</v>
      </c>
      <c r="AG181">
        <v>3965</v>
      </c>
      <c r="AH181">
        <v>1799.75</v>
      </c>
      <c r="AI181" s="5">
        <v>0.218548876745598</v>
      </c>
    </row>
    <row r="182" spans="14:35" x14ac:dyDescent="0.25">
      <c r="N182" t="s">
        <v>198</v>
      </c>
      <c r="O182" s="1">
        <v>46156.458333333336</v>
      </c>
      <c r="P182" t="s">
        <v>22</v>
      </c>
      <c r="Q182" t="s">
        <v>155</v>
      </c>
      <c r="R182" t="s">
        <v>29</v>
      </c>
      <c r="S182">
        <v>161</v>
      </c>
      <c r="T182" t="s">
        <v>25</v>
      </c>
      <c r="U182">
        <v>150</v>
      </c>
      <c r="V182">
        <v>65</v>
      </c>
      <c r="W182">
        <v>1.8</v>
      </c>
      <c r="X182" t="s">
        <v>156</v>
      </c>
      <c r="Y182">
        <v>12.5</v>
      </c>
      <c r="Z182">
        <v>0.15</v>
      </c>
      <c r="AA182">
        <v>0.1</v>
      </c>
      <c r="AB182">
        <v>24150</v>
      </c>
      <c r="AC182">
        <v>21735</v>
      </c>
      <c r="AD182">
        <v>289.8</v>
      </c>
      <c r="AE182">
        <v>3260.25</v>
      </c>
      <c r="AF182">
        <v>3260</v>
      </c>
      <c r="AG182">
        <v>10465</v>
      </c>
      <c r="AH182">
        <v>4749.75</v>
      </c>
      <c r="AI182" s="5">
        <v>0.21853002070393401</v>
      </c>
    </row>
    <row r="183" spans="14:35" x14ac:dyDescent="0.25">
      <c r="N183" t="s">
        <v>199</v>
      </c>
      <c r="O183" s="1">
        <v>46157.166666666664</v>
      </c>
      <c r="P183" t="s">
        <v>22</v>
      </c>
      <c r="Q183" t="s">
        <v>155</v>
      </c>
      <c r="R183" t="s">
        <v>24</v>
      </c>
      <c r="S183">
        <v>24</v>
      </c>
      <c r="T183" t="s">
        <v>25</v>
      </c>
      <c r="U183">
        <v>150</v>
      </c>
      <c r="V183">
        <v>65</v>
      </c>
      <c r="W183">
        <v>1.8</v>
      </c>
      <c r="X183" t="s">
        <v>156</v>
      </c>
      <c r="Y183">
        <v>12.5</v>
      </c>
      <c r="Z183">
        <v>0.15</v>
      </c>
      <c r="AA183">
        <v>0.02</v>
      </c>
      <c r="AB183">
        <v>3600</v>
      </c>
      <c r="AC183">
        <v>3528</v>
      </c>
      <c r="AD183">
        <v>43.2</v>
      </c>
      <c r="AE183">
        <v>529.19999999999993</v>
      </c>
      <c r="AF183">
        <v>529</v>
      </c>
      <c r="AG183">
        <v>1560</v>
      </c>
      <c r="AH183">
        <v>909.80000000000018</v>
      </c>
      <c r="AI183" s="5">
        <v>0.25787981859410403</v>
      </c>
    </row>
    <row r="184" spans="14:35" x14ac:dyDescent="0.25">
      <c r="N184" t="s">
        <v>200</v>
      </c>
      <c r="O184" s="1">
        <v>46157.291666666664</v>
      </c>
      <c r="P184" t="s">
        <v>22</v>
      </c>
      <c r="Q184" t="s">
        <v>155</v>
      </c>
      <c r="R184" t="s">
        <v>29</v>
      </c>
      <c r="S184">
        <v>128</v>
      </c>
      <c r="T184" t="s">
        <v>25</v>
      </c>
      <c r="U184">
        <v>150</v>
      </c>
      <c r="V184">
        <v>65</v>
      </c>
      <c r="W184">
        <v>1.8</v>
      </c>
      <c r="X184" t="s">
        <v>156</v>
      </c>
      <c r="Y184">
        <v>12.5</v>
      </c>
      <c r="Z184">
        <v>0.15</v>
      </c>
      <c r="AA184">
        <v>0.1</v>
      </c>
      <c r="AB184">
        <v>19200</v>
      </c>
      <c r="AC184">
        <v>17280</v>
      </c>
      <c r="AD184">
        <v>230.4</v>
      </c>
      <c r="AE184">
        <v>2592</v>
      </c>
      <c r="AF184">
        <v>2592</v>
      </c>
      <c r="AG184">
        <v>8320</v>
      </c>
      <c r="AH184">
        <v>3776</v>
      </c>
      <c r="AI184" s="5">
        <v>0.218518518518519</v>
      </c>
    </row>
    <row r="185" spans="14:35" x14ac:dyDescent="0.25">
      <c r="N185" t="s">
        <v>201</v>
      </c>
      <c r="O185" s="1">
        <v>46157.416666666664</v>
      </c>
      <c r="P185" t="s">
        <v>22</v>
      </c>
      <c r="Q185" t="s">
        <v>155</v>
      </c>
      <c r="R185" t="s">
        <v>29</v>
      </c>
      <c r="S185">
        <v>160</v>
      </c>
      <c r="T185" t="s">
        <v>25</v>
      </c>
      <c r="U185">
        <v>150</v>
      </c>
      <c r="V185">
        <v>65</v>
      </c>
      <c r="W185">
        <v>1.8</v>
      </c>
      <c r="X185" t="s">
        <v>156</v>
      </c>
      <c r="Y185">
        <v>12.5</v>
      </c>
      <c r="Z185">
        <v>0.15</v>
      </c>
      <c r="AA185">
        <v>0.1</v>
      </c>
      <c r="AB185">
        <v>24000</v>
      </c>
      <c r="AC185">
        <v>21600</v>
      </c>
      <c r="AD185">
        <v>288</v>
      </c>
      <c r="AE185">
        <v>3240</v>
      </c>
      <c r="AF185">
        <v>3240</v>
      </c>
      <c r="AG185">
        <v>10400</v>
      </c>
      <c r="AH185">
        <v>4720</v>
      </c>
      <c r="AI185" s="5">
        <v>0.218518518518519</v>
      </c>
    </row>
    <row r="186" spans="14:35" x14ac:dyDescent="0.25">
      <c r="N186" t="s">
        <v>202</v>
      </c>
      <c r="O186" s="1">
        <v>46157.916666666664</v>
      </c>
      <c r="P186" t="s">
        <v>22</v>
      </c>
      <c r="Q186" t="s">
        <v>155</v>
      </c>
      <c r="R186" t="s">
        <v>32</v>
      </c>
      <c r="S186">
        <v>120</v>
      </c>
      <c r="T186" t="s">
        <v>25</v>
      </c>
      <c r="U186">
        <v>150</v>
      </c>
      <c r="V186">
        <v>65</v>
      </c>
      <c r="W186">
        <v>1.8</v>
      </c>
      <c r="X186" t="s">
        <v>156</v>
      </c>
      <c r="Y186">
        <v>12.5</v>
      </c>
      <c r="Z186">
        <v>0.15</v>
      </c>
      <c r="AA186">
        <v>0.05</v>
      </c>
      <c r="AB186">
        <v>18000</v>
      </c>
      <c r="AC186">
        <v>17100</v>
      </c>
      <c r="AD186">
        <v>216</v>
      </c>
      <c r="AE186">
        <v>2565</v>
      </c>
      <c r="AF186">
        <v>2565</v>
      </c>
      <c r="AG186">
        <v>7800</v>
      </c>
      <c r="AH186">
        <v>4170</v>
      </c>
      <c r="AI186" s="5">
        <v>0.243859649122807</v>
      </c>
    </row>
    <row r="187" spans="14:35" x14ac:dyDescent="0.25">
      <c r="N187" t="s">
        <v>203</v>
      </c>
      <c r="O187" s="1">
        <v>46157.958333333336</v>
      </c>
      <c r="P187" t="s">
        <v>22</v>
      </c>
      <c r="Q187" t="s">
        <v>155</v>
      </c>
      <c r="R187" t="s">
        <v>24</v>
      </c>
      <c r="S187">
        <v>57</v>
      </c>
      <c r="T187" t="s">
        <v>25</v>
      </c>
      <c r="U187">
        <v>150</v>
      </c>
      <c r="V187">
        <v>65</v>
      </c>
      <c r="W187">
        <v>1.8</v>
      </c>
      <c r="X187" t="s">
        <v>156</v>
      </c>
      <c r="Y187">
        <v>12.5</v>
      </c>
      <c r="Z187">
        <v>0.15</v>
      </c>
      <c r="AA187">
        <v>0.02</v>
      </c>
      <c r="AB187">
        <v>8550</v>
      </c>
      <c r="AC187">
        <v>8379</v>
      </c>
      <c r="AD187">
        <v>102.60000000000001</v>
      </c>
      <c r="AE187">
        <v>1256.8499999999999</v>
      </c>
      <c r="AF187">
        <v>1257</v>
      </c>
      <c r="AG187">
        <v>3705</v>
      </c>
      <c r="AH187">
        <v>2160.1499999999996</v>
      </c>
      <c r="AI187" s="5">
        <v>0.2578052273541</v>
      </c>
    </row>
    <row r="188" spans="14:35" x14ac:dyDescent="0.25">
      <c r="N188" t="s">
        <v>204</v>
      </c>
      <c r="O188" s="1">
        <v>46158.25</v>
      </c>
      <c r="P188" t="s">
        <v>22</v>
      </c>
      <c r="Q188" t="s">
        <v>155</v>
      </c>
      <c r="R188" t="s">
        <v>32</v>
      </c>
      <c r="S188">
        <v>60</v>
      </c>
      <c r="T188" t="s">
        <v>25</v>
      </c>
      <c r="U188">
        <v>150</v>
      </c>
      <c r="V188">
        <v>65</v>
      </c>
      <c r="W188">
        <v>1.8</v>
      </c>
      <c r="X188" t="s">
        <v>156</v>
      </c>
      <c r="Y188">
        <v>12.5</v>
      </c>
      <c r="Z188">
        <v>0.15</v>
      </c>
      <c r="AA188">
        <v>0.05</v>
      </c>
      <c r="AB188">
        <v>9000</v>
      </c>
      <c r="AC188">
        <v>8550</v>
      </c>
      <c r="AD188">
        <v>108</v>
      </c>
      <c r="AE188">
        <v>1282.5</v>
      </c>
      <c r="AF188">
        <v>1282</v>
      </c>
      <c r="AG188">
        <v>3900</v>
      </c>
      <c r="AH188">
        <v>2085.5</v>
      </c>
      <c r="AI188" s="5">
        <v>0.24391812865497101</v>
      </c>
    </row>
    <row r="189" spans="14:35" x14ac:dyDescent="0.25">
      <c r="N189" t="s">
        <v>205</v>
      </c>
      <c r="O189" s="1">
        <v>46158.416666666664</v>
      </c>
      <c r="P189" t="s">
        <v>22</v>
      </c>
      <c r="Q189" t="s">
        <v>155</v>
      </c>
      <c r="R189" t="s">
        <v>32</v>
      </c>
      <c r="S189">
        <v>188</v>
      </c>
      <c r="T189" t="s">
        <v>25</v>
      </c>
      <c r="U189">
        <v>150</v>
      </c>
      <c r="V189">
        <v>65</v>
      </c>
      <c r="W189">
        <v>1.8</v>
      </c>
      <c r="X189" t="s">
        <v>156</v>
      </c>
      <c r="Y189">
        <v>12.5</v>
      </c>
      <c r="Z189">
        <v>0.15</v>
      </c>
      <c r="AA189">
        <v>0.05</v>
      </c>
      <c r="AB189">
        <v>28200</v>
      </c>
      <c r="AC189">
        <v>26790</v>
      </c>
      <c r="AD189">
        <v>338.40000000000003</v>
      </c>
      <c r="AE189">
        <v>4018.5</v>
      </c>
      <c r="AF189">
        <v>4018</v>
      </c>
      <c r="AG189">
        <v>12220</v>
      </c>
      <c r="AH189">
        <v>6533.5</v>
      </c>
      <c r="AI189" s="5">
        <v>0.24387831280328501</v>
      </c>
    </row>
    <row r="190" spans="14:35" x14ac:dyDescent="0.25">
      <c r="N190" t="s">
        <v>206</v>
      </c>
      <c r="O190" s="1">
        <v>46159</v>
      </c>
      <c r="P190" t="s">
        <v>22</v>
      </c>
      <c r="Q190" t="s">
        <v>155</v>
      </c>
      <c r="R190" t="s">
        <v>24</v>
      </c>
      <c r="S190">
        <v>184</v>
      </c>
      <c r="T190" t="s">
        <v>25</v>
      </c>
      <c r="U190">
        <v>150</v>
      </c>
      <c r="V190">
        <v>65</v>
      </c>
      <c r="W190">
        <v>1.8</v>
      </c>
      <c r="X190" t="s">
        <v>156</v>
      </c>
      <c r="Y190">
        <v>12.5</v>
      </c>
      <c r="Z190">
        <v>0.15</v>
      </c>
      <c r="AA190">
        <v>0.02</v>
      </c>
      <c r="AB190">
        <v>27600</v>
      </c>
      <c r="AC190">
        <v>27048</v>
      </c>
      <c r="AD190">
        <v>331.2</v>
      </c>
      <c r="AE190">
        <v>4057.2</v>
      </c>
      <c r="AF190">
        <v>4057</v>
      </c>
      <c r="AG190">
        <v>11960</v>
      </c>
      <c r="AH190">
        <v>6973.7999999999993</v>
      </c>
      <c r="AI190" s="5">
        <v>0.25783052351375302</v>
      </c>
    </row>
    <row r="191" spans="14:35" x14ac:dyDescent="0.25">
      <c r="N191" t="s">
        <v>207</v>
      </c>
      <c r="O191" s="1">
        <v>46159.125</v>
      </c>
      <c r="P191" t="s">
        <v>22</v>
      </c>
      <c r="Q191" t="s">
        <v>155</v>
      </c>
      <c r="R191" t="s">
        <v>29</v>
      </c>
      <c r="S191">
        <v>85</v>
      </c>
      <c r="T191" t="s">
        <v>25</v>
      </c>
      <c r="U191">
        <v>150</v>
      </c>
      <c r="V191">
        <v>65</v>
      </c>
      <c r="W191">
        <v>1.8</v>
      </c>
      <c r="X191" t="s">
        <v>156</v>
      </c>
      <c r="Y191">
        <v>12.5</v>
      </c>
      <c r="Z191">
        <v>0.15</v>
      </c>
      <c r="AA191">
        <v>0.1</v>
      </c>
      <c r="AB191">
        <v>12750</v>
      </c>
      <c r="AC191">
        <v>11475</v>
      </c>
      <c r="AD191">
        <v>153</v>
      </c>
      <c r="AE191">
        <v>1721.25</v>
      </c>
      <c r="AF191">
        <v>1721</v>
      </c>
      <c r="AG191">
        <v>5525</v>
      </c>
      <c r="AH191">
        <v>2507.75</v>
      </c>
      <c r="AI191" s="5">
        <v>0.218540305010893</v>
      </c>
    </row>
    <row r="192" spans="14:35" x14ac:dyDescent="0.25">
      <c r="N192" t="s">
        <v>208</v>
      </c>
      <c r="O192" s="1">
        <v>46159.333333333336</v>
      </c>
      <c r="P192" t="s">
        <v>22</v>
      </c>
      <c r="Q192" t="s">
        <v>155</v>
      </c>
      <c r="R192" t="s">
        <v>29</v>
      </c>
      <c r="S192">
        <v>133</v>
      </c>
      <c r="T192" t="s">
        <v>25</v>
      </c>
      <c r="U192">
        <v>150</v>
      </c>
      <c r="V192">
        <v>65</v>
      </c>
      <c r="W192">
        <v>1.8</v>
      </c>
      <c r="X192" t="s">
        <v>156</v>
      </c>
      <c r="Y192">
        <v>12.5</v>
      </c>
      <c r="Z192">
        <v>0.15</v>
      </c>
      <c r="AA192">
        <v>0.1</v>
      </c>
      <c r="AB192">
        <v>19950</v>
      </c>
      <c r="AC192">
        <v>17955</v>
      </c>
      <c r="AD192">
        <v>239.4</v>
      </c>
      <c r="AE192">
        <v>2693.25</v>
      </c>
      <c r="AF192">
        <v>2693</v>
      </c>
      <c r="AG192">
        <v>8645</v>
      </c>
      <c r="AH192">
        <v>3923.75</v>
      </c>
      <c r="AI192" s="5">
        <v>0.21853244221665299</v>
      </c>
    </row>
    <row r="193" spans="14:35" x14ac:dyDescent="0.25">
      <c r="N193" t="s">
        <v>209</v>
      </c>
      <c r="O193" s="1">
        <v>46159.708333333336</v>
      </c>
      <c r="P193" t="s">
        <v>22</v>
      </c>
      <c r="Q193" t="s">
        <v>155</v>
      </c>
      <c r="R193" t="s">
        <v>32</v>
      </c>
      <c r="S193">
        <v>111</v>
      </c>
      <c r="T193" t="s">
        <v>25</v>
      </c>
      <c r="U193">
        <v>150</v>
      </c>
      <c r="V193">
        <v>65</v>
      </c>
      <c r="W193">
        <v>1.8</v>
      </c>
      <c r="X193" t="s">
        <v>156</v>
      </c>
      <c r="Y193">
        <v>12.5</v>
      </c>
      <c r="Z193">
        <v>0.15</v>
      </c>
      <c r="AA193">
        <v>0.05</v>
      </c>
      <c r="AB193">
        <v>16650</v>
      </c>
      <c r="AC193">
        <v>15818</v>
      </c>
      <c r="AD193">
        <v>199.8</v>
      </c>
      <c r="AE193">
        <v>2372.6999999999998</v>
      </c>
      <c r="AF193">
        <v>2373</v>
      </c>
      <c r="AG193">
        <v>7215</v>
      </c>
      <c r="AH193">
        <v>3857.2999999999993</v>
      </c>
      <c r="AI193" s="5">
        <v>0.243855101782779</v>
      </c>
    </row>
    <row r="194" spans="14:35" x14ac:dyDescent="0.25">
      <c r="N194" t="s">
        <v>210</v>
      </c>
      <c r="O194" s="1">
        <v>46160</v>
      </c>
      <c r="P194" t="s">
        <v>22</v>
      </c>
      <c r="Q194" t="s">
        <v>155</v>
      </c>
      <c r="R194" t="s">
        <v>32</v>
      </c>
      <c r="S194">
        <v>143</v>
      </c>
      <c r="T194" t="s">
        <v>25</v>
      </c>
      <c r="U194">
        <v>150</v>
      </c>
      <c r="V194">
        <v>65</v>
      </c>
      <c r="W194">
        <v>1.8</v>
      </c>
      <c r="X194" t="s">
        <v>156</v>
      </c>
      <c r="Y194">
        <v>12.5</v>
      </c>
      <c r="Z194">
        <v>0.15</v>
      </c>
      <c r="AA194">
        <v>0.05</v>
      </c>
      <c r="AB194">
        <v>21450</v>
      </c>
      <c r="AC194">
        <v>20378</v>
      </c>
      <c r="AD194">
        <v>257.40000000000003</v>
      </c>
      <c r="AE194">
        <v>3056.7</v>
      </c>
      <c r="AF194">
        <v>3057</v>
      </c>
      <c r="AG194">
        <v>9295</v>
      </c>
      <c r="AH194">
        <v>4969.2999999999993</v>
      </c>
      <c r="AI194" s="5">
        <v>0.243856119344391</v>
      </c>
    </row>
    <row r="195" spans="14:35" x14ac:dyDescent="0.25">
      <c r="N195" t="s">
        <v>211</v>
      </c>
      <c r="O195" s="1">
        <v>46160.083333333336</v>
      </c>
      <c r="P195" t="s">
        <v>22</v>
      </c>
      <c r="Q195" t="s">
        <v>155</v>
      </c>
      <c r="R195" t="s">
        <v>29</v>
      </c>
      <c r="S195">
        <v>23</v>
      </c>
      <c r="T195" t="s">
        <v>25</v>
      </c>
      <c r="U195">
        <v>150</v>
      </c>
      <c r="V195">
        <v>65</v>
      </c>
      <c r="W195">
        <v>1.8</v>
      </c>
      <c r="X195" t="s">
        <v>156</v>
      </c>
      <c r="Y195">
        <v>12.5</v>
      </c>
      <c r="Z195">
        <v>0.15</v>
      </c>
      <c r="AA195">
        <v>0.1</v>
      </c>
      <c r="AB195">
        <v>3450</v>
      </c>
      <c r="AC195">
        <v>3105</v>
      </c>
      <c r="AD195">
        <v>41.4</v>
      </c>
      <c r="AE195">
        <v>465.75</v>
      </c>
      <c r="AF195">
        <v>466</v>
      </c>
      <c r="AG195">
        <v>1495</v>
      </c>
      <c r="AH195">
        <v>678.25</v>
      </c>
      <c r="AI195" s="5">
        <v>0.21843800322061199</v>
      </c>
    </row>
    <row r="196" spans="14:35" x14ac:dyDescent="0.25">
      <c r="N196" t="s">
        <v>212</v>
      </c>
      <c r="O196" s="1">
        <v>46160.166666666664</v>
      </c>
      <c r="P196" t="s">
        <v>22</v>
      </c>
      <c r="Q196" t="s">
        <v>155</v>
      </c>
      <c r="R196" t="s">
        <v>29</v>
      </c>
      <c r="S196">
        <v>73</v>
      </c>
      <c r="T196" t="s">
        <v>25</v>
      </c>
      <c r="U196">
        <v>150</v>
      </c>
      <c r="V196">
        <v>65</v>
      </c>
      <c r="W196">
        <v>1.8</v>
      </c>
      <c r="X196" t="s">
        <v>156</v>
      </c>
      <c r="Y196">
        <v>12.5</v>
      </c>
      <c r="Z196">
        <v>0.15</v>
      </c>
      <c r="AA196">
        <v>0.1</v>
      </c>
      <c r="AB196">
        <v>10950</v>
      </c>
      <c r="AC196">
        <v>9855</v>
      </c>
      <c r="AD196">
        <v>131.4</v>
      </c>
      <c r="AE196">
        <v>1478.25</v>
      </c>
      <c r="AF196">
        <v>1478</v>
      </c>
      <c r="AG196">
        <v>4745</v>
      </c>
      <c r="AH196">
        <v>2153.75</v>
      </c>
      <c r="AI196" s="5">
        <v>0.218543886352106</v>
      </c>
    </row>
    <row r="197" spans="14:35" x14ac:dyDescent="0.25">
      <c r="N197" t="s">
        <v>213</v>
      </c>
      <c r="O197" s="1">
        <v>46160.916666666664</v>
      </c>
      <c r="P197" t="s">
        <v>22</v>
      </c>
      <c r="Q197" t="s">
        <v>155</v>
      </c>
      <c r="R197" t="s">
        <v>32</v>
      </c>
      <c r="S197">
        <v>45</v>
      </c>
      <c r="T197" t="s">
        <v>25</v>
      </c>
      <c r="U197">
        <v>150</v>
      </c>
      <c r="V197">
        <v>65</v>
      </c>
      <c r="W197">
        <v>1.8</v>
      </c>
      <c r="X197" t="s">
        <v>156</v>
      </c>
      <c r="Y197">
        <v>12.5</v>
      </c>
      <c r="Z197">
        <v>0.15</v>
      </c>
      <c r="AA197">
        <v>0.05</v>
      </c>
      <c r="AB197">
        <v>6750</v>
      </c>
      <c r="AC197">
        <v>6412</v>
      </c>
      <c r="AD197">
        <v>81</v>
      </c>
      <c r="AE197">
        <v>961.8</v>
      </c>
      <c r="AF197">
        <v>962</v>
      </c>
      <c r="AG197">
        <v>2925</v>
      </c>
      <c r="AH197">
        <v>1563.1999999999998</v>
      </c>
      <c r="AI197" s="5">
        <v>0.24379288833437299</v>
      </c>
    </row>
    <row r="198" spans="14:35" x14ac:dyDescent="0.25">
      <c r="N198" t="s">
        <v>214</v>
      </c>
      <c r="O198" s="1">
        <v>46160.958333333336</v>
      </c>
      <c r="P198" t="s">
        <v>22</v>
      </c>
      <c r="Q198" t="s">
        <v>155</v>
      </c>
      <c r="R198" t="s">
        <v>24</v>
      </c>
      <c r="S198">
        <v>37</v>
      </c>
      <c r="T198" t="s">
        <v>25</v>
      </c>
      <c r="U198">
        <v>150</v>
      </c>
      <c r="V198">
        <v>65</v>
      </c>
      <c r="W198">
        <v>1.8</v>
      </c>
      <c r="X198" t="s">
        <v>156</v>
      </c>
      <c r="Y198">
        <v>12.5</v>
      </c>
      <c r="Z198">
        <v>0.15</v>
      </c>
      <c r="AA198">
        <v>0.02</v>
      </c>
      <c r="AB198">
        <v>5550</v>
      </c>
      <c r="AC198">
        <v>5439</v>
      </c>
      <c r="AD198">
        <v>66.600000000000009</v>
      </c>
      <c r="AE198">
        <v>815.85</v>
      </c>
      <c r="AF198">
        <v>816</v>
      </c>
      <c r="AG198">
        <v>2405</v>
      </c>
      <c r="AH198">
        <v>1402.15</v>
      </c>
      <c r="AI198" s="5">
        <v>0.25779555065269399</v>
      </c>
    </row>
    <row r="199" spans="14:35" x14ac:dyDescent="0.25">
      <c r="N199" t="s">
        <v>215</v>
      </c>
      <c r="O199" s="1">
        <v>46161.75</v>
      </c>
      <c r="P199" t="s">
        <v>22</v>
      </c>
      <c r="Q199" t="s">
        <v>155</v>
      </c>
      <c r="R199" t="s">
        <v>32</v>
      </c>
      <c r="S199">
        <v>173</v>
      </c>
      <c r="T199" t="s">
        <v>25</v>
      </c>
      <c r="U199">
        <v>150</v>
      </c>
      <c r="V199">
        <v>65</v>
      </c>
      <c r="W199">
        <v>1.8</v>
      </c>
      <c r="X199" t="s">
        <v>156</v>
      </c>
      <c r="Y199">
        <v>12.5</v>
      </c>
      <c r="Z199">
        <v>0.15</v>
      </c>
      <c r="AA199">
        <v>0.05</v>
      </c>
      <c r="AB199">
        <v>25950</v>
      </c>
      <c r="AC199">
        <v>24652</v>
      </c>
      <c r="AD199">
        <v>311.40000000000003</v>
      </c>
      <c r="AE199">
        <v>3697.7999999999997</v>
      </c>
      <c r="AF199">
        <v>3698</v>
      </c>
      <c r="AG199">
        <v>11245</v>
      </c>
      <c r="AH199">
        <v>6011.2000000000007</v>
      </c>
      <c r="AI199" s="5">
        <v>0.243842284601655</v>
      </c>
    </row>
    <row r="200" spans="14:35" x14ac:dyDescent="0.25">
      <c r="N200" t="s">
        <v>216</v>
      </c>
      <c r="O200" s="1">
        <v>46162.125</v>
      </c>
      <c r="P200" t="s">
        <v>22</v>
      </c>
      <c r="Q200" t="s">
        <v>155</v>
      </c>
      <c r="R200" t="s">
        <v>24</v>
      </c>
      <c r="S200">
        <v>84</v>
      </c>
      <c r="T200" t="s">
        <v>25</v>
      </c>
      <c r="U200">
        <v>150</v>
      </c>
      <c r="V200">
        <v>65</v>
      </c>
      <c r="W200">
        <v>1.8</v>
      </c>
      <c r="X200" t="s">
        <v>156</v>
      </c>
      <c r="Y200">
        <v>12.5</v>
      </c>
      <c r="Z200">
        <v>0.15</v>
      </c>
      <c r="AA200">
        <v>0.02</v>
      </c>
      <c r="AB200">
        <v>12600</v>
      </c>
      <c r="AC200">
        <v>12348</v>
      </c>
      <c r="AD200">
        <v>151.20000000000002</v>
      </c>
      <c r="AE200">
        <v>1852.1999999999998</v>
      </c>
      <c r="AF200">
        <v>1852</v>
      </c>
      <c r="AG200">
        <v>5460</v>
      </c>
      <c r="AH200">
        <v>3183.7999999999993</v>
      </c>
      <c r="AI200" s="5">
        <v>0.25783932620667299</v>
      </c>
    </row>
    <row r="201" spans="14:35" x14ac:dyDescent="0.25">
      <c r="N201" t="s">
        <v>217</v>
      </c>
      <c r="O201" s="1">
        <v>46162.375</v>
      </c>
      <c r="P201" t="s">
        <v>22</v>
      </c>
      <c r="Q201" t="s">
        <v>155</v>
      </c>
      <c r="R201" t="s">
        <v>32</v>
      </c>
      <c r="S201">
        <v>137</v>
      </c>
      <c r="T201" t="s">
        <v>25</v>
      </c>
      <c r="U201">
        <v>150</v>
      </c>
      <c r="V201">
        <v>65</v>
      </c>
      <c r="W201">
        <v>1.8</v>
      </c>
      <c r="X201" t="s">
        <v>156</v>
      </c>
      <c r="Y201">
        <v>12.5</v>
      </c>
      <c r="Z201">
        <v>0.15</v>
      </c>
      <c r="AA201">
        <v>0.05</v>
      </c>
      <c r="AB201">
        <v>20550</v>
      </c>
      <c r="AC201">
        <v>19522</v>
      </c>
      <c r="AD201">
        <v>246.6</v>
      </c>
      <c r="AE201">
        <v>2928.2999999999997</v>
      </c>
      <c r="AF201">
        <v>2928</v>
      </c>
      <c r="AG201">
        <v>8905</v>
      </c>
      <c r="AH201">
        <v>4760.7000000000007</v>
      </c>
      <c r="AI201" s="5">
        <v>0.24386333367482799</v>
      </c>
    </row>
    <row r="202" spans="14:35" x14ac:dyDescent="0.25">
      <c r="N202" t="s">
        <v>218</v>
      </c>
      <c r="O202" s="1">
        <v>46162.75</v>
      </c>
      <c r="P202" t="s">
        <v>22</v>
      </c>
      <c r="Q202" t="s">
        <v>155</v>
      </c>
      <c r="R202" t="s">
        <v>32</v>
      </c>
      <c r="S202">
        <v>171</v>
      </c>
      <c r="T202" t="s">
        <v>25</v>
      </c>
      <c r="U202">
        <v>150</v>
      </c>
      <c r="V202">
        <v>65</v>
      </c>
      <c r="W202">
        <v>1.8</v>
      </c>
      <c r="X202" t="s">
        <v>156</v>
      </c>
      <c r="Y202">
        <v>12.5</v>
      </c>
      <c r="Z202">
        <v>0.15</v>
      </c>
      <c r="AA202">
        <v>0.05</v>
      </c>
      <c r="AB202">
        <v>25650</v>
      </c>
      <c r="AC202">
        <v>24368</v>
      </c>
      <c r="AD202">
        <v>307.8</v>
      </c>
      <c r="AE202">
        <v>3655.2</v>
      </c>
      <c r="AF202">
        <v>3655</v>
      </c>
      <c r="AG202">
        <v>11115</v>
      </c>
      <c r="AH202">
        <v>5942.7999999999993</v>
      </c>
      <c r="AI202" s="5">
        <v>0.24387721602101101</v>
      </c>
    </row>
    <row r="203" spans="14:35" x14ac:dyDescent="0.25">
      <c r="N203" t="s">
        <v>219</v>
      </c>
      <c r="O203" s="1">
        <v>46163.083333333336</v>
      </c>
      <c r="P203" t="s">
        <v>22</v>
      </c>
      <c r="Q203" t="s">
        <v>155</v>
      </c>
      <c r="R203" t="s">
        <v>24</v>
      </c>
      <c r="S203">
        <v>128</v>
      </c>
      <c r="T203" t="s">
        <v>25</v>
      </c>
      <c r="U203">
        <v>150</v>
      </c>
      <c r="V203">
        <v>65</v>
      </c>
      <c r="W203">
        <v>1.8</v>
      </c>
      <c r="X203" t="s">
        <v>156</v>
      </c>
      <c r="Y203">
        <v>12.5</v>
      </c>
      <c r="Z203">
        <v>0.15</v>
      </c>
      <c r="AA203">
        <v>0.02</v>
      </c>
      <c r="AB203">
        <v>19200</v>
      </c>
      <c r="AC203">
        <v>18816</v>
      </c>
      <c r="AD203">
        <v>230.4</v>
      </c>
      <c r="AE203">
        <v>2822.4</v>
      </c>
      <c r="AF203">
        <v>2822</v>
      </c>
      <c r="AG203">
        <v>8320</v>
      </c>
      <c r="AH203">
        <v>4851.6000000000004</v>
      </c>
      <c r="AI203" s="5">
        <v>0.25784438775510199</v>
      </c>
    </row>
    <row r="204" spans="14:35" x14ac:dyDescent="0.25">
      <c r="N204" t="s">
        <v>220</v>
      </c>
      <c r="O204" s="1">
        <v>46163.791666666664</v>
      </c>
      <c r="P204" t="s">
        <v>22</v>
      </c>
      <c r="Q204" t="s">
        <v>155</v>
      </c>
      <c r="R204" t="s">
        <v>24</v>
      </c>
      <c r="S204">
        <v>55</v>
      </c>
      <c r="T204" t="s">
        <v>25</v>
      </c>
      <c r="U204">
        <v>150</v>
      </c>
      <c r="V204">
        <v>65</v>
      </c>
      <c r="W204">
        <v>1.8</v>
      </c>
      <c r="X204" t="s">
        <v>156</v>
      </c>
      <c r="Y204">
        <v>12.5</v>
      </c>
      <c r="Z204">
        <v>0.15</v>
      </c>
      <c r="AA204">
        <v>0.02</v>
      </c>
      <c r="AB204">
        <v>8250</v>
      </c>
      <c r="AC204">
        <v>8085</v>
      </c>
      <c r="AD204">
        <v>99</v>
      </c>
      <c r="AE204">
        <v>1212.75</v>
      </c>
      <c r="AF204">
        <v>1213</v>
      </c>
      <c r="AG204">
        <v>3575</v>
      </c>
      <c r="AH204">
        <v>2084.25</v>
      </c>
      <c r="AI204" s="5">
        <v>0.25779220779220802</v>
      </c>
    </row>
    <row r="205" spans="14:35" x14ac:dyDescent="0.25">
      <c r="N205" t="s">
        <v>221</v>
      </c>
      <c r="O205" s="1">
        <v>46164.5</v>
      </c>
      <c r="P205" t="s">
        <v>22</v>
      </c>
      <c r="Q205" t="s">
        <v>155</v>
      </c>
      <c r="R205" t="s">
        <v>29</v>
      </c>
      <c r="S205">
        <v>21</v>
      </c>
      <c r="T205" t="s">
        <v>25</v>
      </c>
      <c r="U205">
        <v>150</v>
      </c>
      <c r="V205">
        <v>65</v>
      </c>
      <c r="W205">
        <v>1.8</v>
      </c>
      <c r="X205" t="s">
        <v>156</v>
      </c>
      <c r="Y205">
        <v>12.5</v>
      </c>
      <c r="Z205">
        <v>0.15</v>
      </c>
      <c r="AA205">
        <v>0.1</v>
      </c>
      <c r="AB205">
        <v>3150</v>
      </c>
      <c r="AC205">
        <v>2835</v>
      </c>
      <c r="AD205">
        <v>37.800000000000004</v>
      </c>
      <c r="AE205">
        <v>425.25</v>
      </c>
      <c r="AF205">
        <v>425</v>
      </c>
      <c r="AG205">
        <v>1365</v>
      </c>
      <c r="AH205">
        <v>619.75</v>
      </c>
      <c r="AI205" s="5">
        <v>0.21860670194003501</v>
      </c>
    </row>
    <row r="206" spans="14:35" x14ac:dyDescent="0.25">
      <c r="N206" t="s">
        <v>222</v>
      </c>
      <c r="O206" s="1">
        <v>46164.541666666664</v>
      </c>
      <c r="P206" t="s">
        <v>22</v>
      </c>
      <c r="Q206" t="s">
        <v>155</v>
      </c>
      <c r="R206" t="s">
        <v>24</v>
      </c>
      <c r="S206">
        <v>174</v>
      </c>
      <c r="T206" t="s">
        <v>25</v>
      </c>
      <c r="U206">
        <v>150</v>
      </c>
      <c r="V206">
        <v>65</v>
      </c>
      <c r="W206">
        <v>1.8</v>
      </c>
      <c r="X206" t="s">
        <v>156</v>
      </c>
      <c r="Y206">
        <v>12.5</v>
      </c>
      <c r="Z206">
        <v>0.15</v>
      </c>
      <c r="AA206">
        <v>0.02</v>
      </c>
      <c r="AB206">
        <v>26100</v>
      </c>
      <c r="AC206">
        <v>25578</v>
      </c>
      <c r="AD206">
        <v>313.2</v>
      </c>
      <c r="AE206">
        <v>3836.7</v>
      </c>
      <c r="AF206">
        <v>3837</v>
      </c>
      <c r="AG206">
        <v>11310</v>
      </c>
      <c r="AH206">
        <v>6594.2999999999993</v>
      </c>
      <c r="AI206" s="5">
        <v>0.25781140042223799</v>
      </c>
    </row>
    <row r="207" spans="14:35" x14ac:dyDescent="0.25">
      <c r="N207" t="s">
        <v>223</v>
      </c>
      <c r="O207" s="1">
        <v>46164.75</v>
      </c>
      <c r="P207" t="s">
        <v>22</v>
      </c>
      <c r="Q207" t="s">
        <v>155</v>
      </c>
      <c r="R207" t="s">
        <v>24</v>
      </c>
      <c r="S207">
        <v>151</v>
      </c>
      <c r="T207" t="s">
        <v>25</v>
      </c>
      <c r="U207">
        <v>150</v>
      </c>
      <c r="V207">
        <v>65</v>
      </c>
      <c r="W207">
        <v>1.8</v>
      </c>
      <c r="X207" t="s">
        <v>156</v>
      </c>
      <c r="Y207">
        <v>12.5</v>
      </c>
      <c r="Z207">
        <v>0.15</v>
      </c>
      <c r="AA207">
        <v>0.02</v>
      </c>
      <c r="AB207">
        <v>22650</v>
      </c>
      <c r="AC207">
        <v>22197</v>
      </c>
      <c r="AD207">
        <v>271.8</v>
      </c>
      <c r="AE207">
        <v>3329.5499999999997</v>
      </c>
      <c r="AF207">
        <v>3330</v>
      </c>
      <c r="AG207">
        <v>9815</v>
      </c>
      <c r="AH207">
        <v>5722.4500000000007</v>
      </c>
      <c r="AI207" s="5">
        <v>0.25780285624183502</v>
      </c>
    </row>
    <row r="208" spans="14:35" x14ac:dyDescent="0.25">
      <c r="N208" t="s">
        <v>224</v>
      </c>
      <c r="O208" s="1">
        <v>46164.791666666664</v>
      </c>
      <c r="P208" t="s">
        <v>22</v>
      </c>
      <c r="Q208" t="s">
        <v>155</v>
      </c>
      <c r="R208" t="s">
        <v>32</v>
      </c>
      <c r="S208">
        <v>68</v>
      </c>
      <c r="T208" t="s">
        <v>25</v>
      </c>
      <c r="U208">
        <v>150</v>
      </c>
      <c r="V208">
        <v>65</v>
      </c>
      <c r="W208">
        <v>1.8</v>
      </c>
      <c r="X208" t="s">
        <v>156</v>
      </c>
      <c r="Y208">
        <v>12.5</v>
      </c>
      <c r="Z208">
        <v>0.15</v>
      </c>
      <c r="AA208">
        <v>0.05</v>
      </c>
      <c r="AB208">
        <v>10200</v>
      </c>
      <c r="AC208">
        <v>9690</v>
      </c>
      <c r="AD208">
        <v>122.4</v>
      </c>
      <c r="AE208">
        <v>1453.5</v>
      </c>
      <c r="AF208">
        <v>1454</v>
      </c>
      <c r="AG208">
        <v>4420</v>
      </c>
      <c r="AH208">
        <v>2362.5</v>
      </c>
      <c r="AI208" s="5">
        <v>0.243808049535604</v>
      </c>
    </row>
    <row r="209" spans="14:35" x14ac:dyDescent="0.25">
      <c r="N209" t="s">
        <v>225</v>
      </c>
      <c r="O209" s="1">
        <v>46165.125</v>
      </c>
      <c r="P209" t="s">
        <v>22</v>
      </c>
      <c r="Q209" t="s">
        <v>155</v>
      </c>
      <c r="R209" t="s">
        <v>32</v>
      </c>
      <c r="S209">
        <v>26</v>
      </c>
      <c r="T209" t="s">
        <v>25</v>
      </c>
      <c r="U209">
        <v>150</v>
      </c>
      <c r="V209">
        <v>65</v>
      </c>
      <c r="W209">
        <v>1.8</v>
      </c>
      <c r="X209" t="s">
        <v>156</v>
      </c>
      <c r="Y209">
        <v>12.5</v>
      </c>
      <c r="Z209">
        <v>0.15</v>
      </c>
      <c r="AA209">
        <v>0.05</v>
      </c>
      <c r="AB209">
        <v>3900</v>
      </c>
      <c r="AC209">
        <v>3705</v>
      </c>
      <c r="AD209">
        <v>46.800000000000004</v>
      </c>
      <c r="AE209">
        <v>555.75</v>
      </c>
      <c r="AF209">
        <v>556</v>
      </c>
      <c r="AG209">
        <v>1690</v>
      </c>
      <c r="AH209">
        <v>903.25</v>
      </c>
      <c r="AI209" s="5">
        <v>0.24379217273954101</v>
      </c>
    </row>
    <row r="210" spans="14:35" x14ac:dyDescent="0.25">
      <c r="N210" t="s">
        <v>226</v>
      </c>
      <c r="O210" s="1">
        <v>46165.208333333336</v>
      </c>
      <c r="P210" t="s">
        <v>22</v>
      </c>
      <c r="Q210" t="s">
        <v>155</v>
      </c>
      <c r="R210" t="s">
        <v>32</v>
      </c>
      <c r="S210">
        <v>122</v>
      </c>
      <c r="T210" t="s">
        <v>25</v>
      </c>
      <c r="U210">
        <v>150</v>
      </c>
      <c r="V210">
        <v>65</v>
      </c>
      <c r="W210">
        <v>1.8</v>
      </c>
      <c r="X210" t="s">
        <v>156</v>
      </c>
      <c r="Y210">
        <v>12.5</v>
      </c>
      <c r="Z210">
        <v>0.15</v>
      </c>
      <c r="AA210">
        <v>0.05</v>
      </c>
      <c r="AB210">
        <v>18300</v>
      </c>
      <c r="AC210">
        <v>17385</v>
      </c>
      <c r="AD210">
        <v>219.6</v>
      </c>
      <c r="AE210">
        <v>2607.75</v>
      </c>
      <c r="AF210">
        <v>2608</v>
      </c>
      <c r="AG210">
        <v>7930</v>
      </c>
      <c r="AH210">
        <v>4239.25</v>
      </c>
      <c r="AI210" s="5">
        <v>0.24384526890998001</v>
      </c>
    </row>
    <row r="211" spans="14:35" x14ac:dyDescent="0.25">
      <c r="N211" t="s">
        <v>227</v>
      </c>
      <c r="O211" s="1">
        <v>46166.166666666664</v>
      </c>
      <c r="P211" t="s">
        <v>22</v>
      </c>
      <c r="Q211" t="s">
        <v>155</v>
      </c>
      <c r="R211" t="s">
        <v>32</v>
      </c>
      <c r="S211">
        <v>48</v>
      </c>
      <c r="T211" t="s">
        <v>25</v>
      </c>
      <c r="U211">
        <v>150</v>
      </c>
      <c r="V211">
        <v>65</v>
      </c>
      <c r="W211">
        <v>1.8</v>
      </c>
      <c r="X211" t="s">
        <v>156</v>
      </c>
      <c r="Y211">
        <v>12.5</v>
      </c>
      <c r="Z211">
        <v>0.15</v>
      </c>
      <c r="AA211">
        <v>0.05</v>
      </c>
      <c r="AB211">
        <v>7200</v>
      </c>
      <c r="AC211">
        <v>6840</v>
      </c>
      <c r="AD211">
        <v>86.4</v>
      </c>
      <c r="AE211">
        <v>1026</v>
      </c>
      <c r="AF211">
        <v>1026</v>
      </c>
      <c r="AG211">
        <v>3120</v>
      </c>
      <c r="AH211">
        <v>1668</v>
      </c>
      <c r="AI211" s="5">
        <v>0.243859649122807</v>
      </c>
    </row>
    <row r="212" spans="14:35" x14ac:dyDescent="0.25">
      <c r="N212" t="s">
        <v>228</v>
      </c>
      <c r="O212" s="1">
        <v>46166.291666666664</v>
      </c>
      <c r="P212" t="s">
        <v>22</v>
      </c>
      <c r="Q212" t="s">
        <v>155</v>
      </c>
      <c r="R212" t="s">
        <v>29</v>
      </c>
      <c r="S212">
        <v>52</v>
      </c>
      <c r="T212" t="s">
        <v>25</v>
      </c>
      <c r="U212">
        <v>150</v>
      </c>
      <c r="V212">
        <v>65</v>
      </c>
      <c r="W212">
        <v>1.8</v>
      </c>
      <c r="X212" t="s">
        <v>156</v>
      </c>
      <c r="Y212">
        <v>12.5</v>
      </c>
      <c r="Z212">
        <v>0.15</v>
      </c>
      <c r="AA212">
        <v>0.1</v>
      </c>
      <c r="AB212">
        <v>7800</v>
      </c>
      <c r="AC212">
        <v>7020</v>
      </c>
      <c r="AD212">
        <v>93.600000000000009</v>
      </c>
      <c r="AE212">
        <v>1053</v>
      </c>
      <c r="AF212">
        <v>1053</v>
      </c>
      <c r="AG212">
        <v>3380</v>
      </c>
      <c r="AH212">
        <v>1534</v>
      </c>
      <c r="AI212" s="5">
        <v>0.218518518518519</v>
      </c>
    </row>
    <row r="213" spans="14:35" x14ac:dyDescent="0.25">
      <c r="N213" t="s">
        <v>229</v>
      </c>
      <c r="O213" s="1">
        <v>46166.958333333336</v>
      </c>
      <c r="P213" t="s">
        <v>22</v>
      </c>
      <c r="Q213" t="s">
        <v>155</v>
      </c>
      <c r="R213" t="s">
        <v>29</v>
      </c>
      <c r="S213">
        <v>97</v>
      </c>
      <c r="T213" t="s">
        <v>25</v>
      </c>
      <c r="U213">
        <v>150</v>
      </c>
      <c r="V213">
        <v>65</v>
      </c>
      <c r="W213">
        <v>1.8</v>
      </c>
      <c r="X213" t="s">
        <v>156</v>
      </c>
      <c r="Y213">
        <v>12.5</v>
      </c>
      <c r="Z213">
        <v>0.15</v>
      </c>
      <c r="AA213">
        <v>0.1</v>
      </c>
      <c r="AB213">
        <v>14550</v>
      </c>
      <c r="AC213">
        <v>13095</v>
      </c>
      <c r="AD213">
        <v>174.6</v>
      </c>
      <c r="AE213">
        <v>1964.25</v>
      </c>
      <c r="AF213">
        <v>1964</v>
      </c>
      <c r="AG213">
        <v>6305</v>
      </c>
      <c r="AH213">
        <v>2861.75</v>
      </c>
      <c r="AI213" s="5">
        <v>0.218537609774723</v>
      </c>
    </row>
    <row r="214" spans="14:35" x14ac:dyDescent="0.25">
      <c r="N214" t="s">
        <v>230</v>
      </c>
      <c r="O214" s="1">
        <v>46167.291666666664</v>
      </c>
      <c r="P214" t="s">
        <v>22</v>
      </c>
      <c r="Q214" t="s">
        <v>155</v>
      </c>
      <c r="R214" t="s">
        <v>24</v>
      </c>
      <c r="S214">
        <v>41</v>
      </c>
      <c r="T214" t="s">
        <v>25</v>
      </c>
      <c r="U214">
        <v>150</v>
      </c>
      <c r="V214">
        <v>65</v>
      </c>
      <c r="W214">
        <v>1.8</v>
      </c>
      <c r="X214" t="s">
        <v>156</v>
      </c>
      <c r="Y214">
        <v>12.5</v>
      </c>
      <c r="Z214">
        <v>0.15</v>
      </c>
      <c r="AA214">
        <v>0.02</v>
      </c>
      <c r="AB214">
        <v>6150</v>
      </c>
      <c r="AC214">
        <v>6027</v>
      </c>
      <c r="AD214">
        <v>73.8</v>
      </c>
      <c r="AE214">
        <v>904.05</v>
      </c>
      <c r="AF214">
        <v>904</v>
      </c>
      <c r="AG214">
        <v>2665</v>
      </c>
      <c r="AH214">
        <v>1553.9499999999998</v>
      </c>
      <c r="AI214" s="5">
        <v>0.25783142525302799</v>
      </c>
    </row>
    <row r="215" spans="14:35" x14ac:dyDescent="0.25">
      <c r="N215" t="s">
        <v>231</v>
      </c>
      <c r="O215" s="1">
        <v>46167.458333333336</v>
      </c>
      <c r="P215" t="s">
        <v>22</v>
      </c>
      <c r="Q215" t="s">
        <v>155</v>
      </c>
      <c r="R215" t="s">
        <v>29</v>
      </c>
      <c r="S215">
        <v>120</v>
      </c>
      <c r="T215" t="s">
        <v>25</v>
      </c>
      <c r="U215">
        <v>150</v>
      </c>
      <c r="V215">
        <v>65</v>
      </c>
      <c r="W215">
        <v>1.8</v>
      </c>
      <c r="X215" t="s">
        <v>156</v>
      </c>
      <c r="Y215">
        <v>12.5</v>
      </c>
      <c r="Z215">
        <v>0.15</v>
      </c>
      <c r="AA215">
        <v>0.1</v>
      </c>
      <c r="AB215">
        <v>18000</v>
      </c>
      <c r="AC215">
        <v>16200</v>
      </c>
      <c r="AD215">
        <v>216</v>
      </c>
      <c r="AE215">
        <v>2430</v>
      </c>
      <c r="AF215">
        <v>2430</v>
      </c>
      <c r="AG215">
        <v>7800</v>
      </c>
      <c r="AH215">
        <v>3540</v>
      </c>
      <c r="AI215" s="5">
        <v>0.218518518518519</v>
      </c>
    </row>
    <row r="216" spans="14:35" x14ac:dyDescent="0.25">
      <c r="N216" t="s">
        <v>232</v>
      </c>
      <c r="O216" s="1">
        <v>46167.583333333336</v>
      </c>
      <c r="P216" t="s">
        <v>22</v>
      </c>
      <c r="Q216" t="s">
        <v>155</v>
      </c>
      <c r="R216" t="s">
        <v>32</v>
      </c>
      <c r="S216">
        <v>23</v>
      </c>
      <c r="T216" t="s">
        <v>25</v>
      </c>
      <c r="U216">
        <v>150</v>
      </c>
      <c r="V216">
        <v>65</v>
      </c>
      <c r="W216">
        <v>1.8</v>
      </c>
      <c r="X216" t="s">
        <v>156</v>
      </c>
      <c r="Y216">
        <v>12.5</v>
      </c>
      <c r="Z216">
        <v>0.15</v>
      </c>
      <c r="AA216">
        <v>0.05</v>
      </c>
      <c r="AB216">
        <v>3450</v>
      </c>
      <c r="AC216">
        <v>3278</v>
      </c>
      <c r="AD216">
        <v>41.4</v>
      </c>
      <c r="AE216">
        <v>491.7</v>
      </c>
      <c r="AF216">
        <v>492</v>
      </c>
      <c r="AG216">
        <v>1495</v>
      </c>
      <c r="AH216">
        <v>799.30000000000018</v>
      </c>
      <c r="AI216" s="5">
        <v>0.243837705918243</v>
      </c>
    </row>
    <row r="217" spans="14:35" x14ac:dyDescent="0.25">
      <c r="N217" t="s">
        <v>233</v>
      </c>
      <c r="O217" s="1">
        <v>46167.625</v>
      </c>
      <c r="P217" t="s">
        <v>22</v>
      </c>
      <c r="Q217" t="s">
        <v>155</v>
      </c>
      <c r="R217" t="s">
        <v>32</v>
      </c>
      <c r="S217">
        <v>112</v>
      </c>
      <c r="T217" t="s">
        <v>25</v>
      </c>
      <c r="U217">
        <v>150</v>
      </c>
      <c r="V217">
        <v>65</v>
      </c>
      <c r="W217">
        <v>1.8</v>
      </c>
      <c r="X217" t="s">
        <v>156</v>
      </c>
      <c r="Y217">
        <v>12.5</v>
      </c>
      <c r="Z217">
        <v>0.15</v>
      </c>
      <c r="AA217">
        <v>0.05</v>
      </c>
      <c r="AB217">
        <v>16800</v>
      </c>
      <c r="AC217">
        <v>15960</v>
      </c>
      <c r="AD217">
        <v>201.6</v>
      </c>
      <c r="AE217">
        <v>2394</v>
      </c>
      <c r="AF217">
        <v>2394</v>
      </c>
      <c r="AG217">
        <v>7280</v>
      </c>
      <c r="AH217">
        <v>3892</v>
      </c>
      <c r="AI217" s="5">
        <v>0.243859649122807</v>
      </c>
    </row>
    <row r="218" spans="14:35" x14ac:dyDescent="0.25">
      <c r="N218" t="s">
        <v>234</v>
      </c>
      <c r="O218" s="1">
        <v>46168.458333333336</v>
      </c>
      <c r="P218" t="s">
        <v>22</v>
      </c>
      <c r="Q218" t="s">
        <v>155</v>
      </c>
      <c r="R218" t="s">
        <v>32</v>
      </c>
      <c r="S218">
        <v>120</v>
      </c>
      <c r="T218" t="s">
        <v>25</v>
      </c>
      <c r="U218">
        <v>150</v>
      </c>
      <c r="V218">
        <v>65</v>
      </c>
      <c r="W218">
        <v>1.8</v>
      </c>
      <c r="X218" t="s">
        <v>156</v>
      </c>
      <c r="Y218">
        <v>12.5</v>
      </c>
      <c r="Z218">
        <v>0.15</v>
      </c>
      <c r="AA218">
        <v>0.05</v>
      </c>
      <c r="AB218">
        <v>18000</v>
      </c>
      <c r="AC218">
        <v>17100</v>
      </c>
      <c r="AD218">
        <v>216</v>
      </c>
      <c r="AE218">
        <v>2565</v>
      </c>
      <c r="AF218">
        <v>2565</v>
      </c>
      <c r="AG218">
        <v>7800</v>
      </c>
      <c r="AH218">
        <v>4170</v>
      </c>
      <c r="AI218" s="5">
        <v>0.243859649122807</v>
      </c>
    </row>
    <row r="219" spans="14:35" x14ac:dyDescent="0.25">
      <c r="N219" t="s">
        <v>235</v>
      </c>
      <c r="O219" s="1">
        <v>46168.708333333336</v>
      </c>
      <c r="P219" t="s">
        <v>22</v>
      </c>
      <c r="Q219" t="s">
        <v>155</v>
      </c>
      <c r="R219" t="s">
        <v>32</v>
      </c>
      <c r="S219">
        <v>131</v>
      </c>
      <c r="T219" t="s">
        <v>25</v>
      </c>
      <c r="U219">
        <v>150</v>
      </c>
      <c r="V219">
        <v>65</v>
      </c>
      <c r="W219">
        <v>1.8</v>
      </c>
      <c r="X219" t="s">
        <v>156</v>
      </c>
      <c r="Y219">
        <v>12.5</v>
      </c>
      <c r="Z219">
        <v>0.15</v>
      </c>
      <c r="AA219">
        <v>0.05</v>
      </c>
      <c r="AB219">
        <v>19650</v>
      </c>
      <c r="AC219">
        <v>18668</v>
      </c>
      <c r="AD219">
        <v>235.8</v>
      </c>
      <c r="AE219">
        <v>2800.2</v>
      </c>
      <c r="AF219">
        <v>2800</v>
      </c>
      <c r="AG219">
        <v>8515</v>
      </c>
      <c r="AH219">
        <v>4552.7999999999993</v>
      </c>
      <c r="AI219" s="5">
        <v>0.243882579815727</v>
      </c>
    </row>
    <row r="220" spans="14:35" x14ac:dyDescent="0.25">
      <c r="N220" t="s">
        <v>236</v>
      </c>
      <c r="O220" s="1">
        <v>46168.75</v>
      </c>
      <c r="P220" t="s">
        <v>22</v>
      </c>
      <c r="Q220" t="s">
        <v>155</v>
      </c>
      <c r="R220" t="s">
        <v>24</v>
      </c>
      <c r="S220">
        <v>187</v>
      </c>
      <c r="T220" t="s">
        <v>25</v>
      </c>
      <c r="U220">
        <v>150</v>
      </c>
      <c r="V220">
        <v>65</v>
      </c>
      <c r="W220">
        <v>1.8</v>
      </c>
      <c r="X220" t="s">
        <v>156</v>
      </c>
      <c r="Y220">
        <v>12.5</v>
      </c>
      <c r="Z220">
        <v>0.15</v>
      </c>
      <c r="AA220">
        <v>0.02</v>
      </c>
      <c r="AB220">
        <v>28050</v>
      </c>
      <c r="AC220">
        <v>27489</v>
      </c>
      <c r="AD220">
        <v>336.6</v>
      </c>
      <c r="AE220">
        <v>4123.3499999999995</v>
      </c>
      <c r="AF220">
        <v>4123</v>
      </c>
      <c r="AG220">
        <v>12155</v>
      </c>
      <c r="AH220">
        <v>7087.6500000000015</v>
      </c>
      <c r="AI220" s="5">
        <v>0.25783586161737398</v>
      </c>
    </row>
    <row r="221" spans="14:35" x14ac:dyDescent="0.25">
      <c r="N221" t="s">
        <v>237</v>
      </c>
      <c r="O221" s="1">
        <v>46169.375</v>
      </c>
      <c r="P221" t="s">
        <v>22</v>
      </c>
      <c r="Q221" t="s">
        <v>155</v>
      </c>
      <c r="R221" t="s">
        <v>24</v>
      </c>
      <c r="S221">
        <v>76</v>
      </c>
      <c r="T221" t="s">
        <v>25</v>
      </c>
      <c r="U221">
        <v>150</v>
      </c>
      <c r="V221">
        <v>65</v>
      </c>
      <c r="W221">
        <v>1.8</v>
      </c>
      <c r="X221" t="s">
        <v>156</v>
      </c>
      <c r="Y221">
        <v>12.5</v>
      </c>
      <c r="Z221">
        <v>0.15</v>
      </c>
      <c r="AA221">
        <v>0.02</v>
      </c>
      <c r="AB221">
        <v>11400</v>
      </c>
      <c r="AC221">
        <v>11172</v>
      </c>
      <c r="AD221">
        <v>136.80000000000001</v>
      </c>
      <c r="AE221">
        <v>1675.8</v>
      </c>
      <c r="AF221">
        <v>1676</v>
      </c>
      <c r="AG221">
        <v>4940</v>
      </c>
      <c r="AH221">
        <v>2880.2000000000007</v>
      </c>
      <c r="AI221" s="5">
        <v>0.2578052273541</v>
      </c>
    </row>
    <row r="222" spans="14:35" x14ac:dyDescent="0.25">
      <c r="N222" t="s">
        <v>238</v>
      </c>
      <c r="O222" s="1">
        <v>46169.875</v>
      </c>
      <c r="P222" t="s">
        <v>22</v>
      </c>
      <c r="Q222" t="s">
        <v>155</v>
      </c>
      <c r="R222" t="s">
        <v>29</v>
      </c>
      <c r="S222">
        <v>171</v>
      </c>
      <c r="T222" t="s">
        <v>25</v>
      </c>
      <c r="U222">
        <v>150</v>
      </c>
      <c r="V222">
        <v>65</v>
      </c>
      <c r="W222">
        <v>1.8</v>
      </c>
      <c r="X222" t="s">
        <v>156</v>
      </c>
      <c r="Y222">
        <v>12.5</v>
      </c>
      <c r="Z222">
        <v>0.15</v>
      </c>
      <c r="AA222">
        <v>0.1</v>
      </c>
      <c r="AB222">
        <v>25650</v>
      </c>
      <c r="AC222">
        <v>23085</v>
      </c>
      <c r="AD222">
        <v>307.8</v>
      </c>
      <c r="AE222">
        <v>3462.75</v>
      </c>
      <c r="AF222">
        <v>3463</v>
      </c>
      <c r="AG222">
        <v>11115</v>
      </c>
      <c r="AH222">
        <v>5044.25</v>
      </c>
      <c r="AI222" s="5">
        <v>0.218507688975525</v>
      </c>
    </row>
    <row r="223" spans="14:35" x14ac:dyDescent="0.25">
      <c r="N223" t="s">
        <v>239</v>
      </c>
      <c r="O223" s="1">
        <v>46170.041666666664</v>
      </c>
      <c r="P223" t="s">
        <v>22</v>
      </c>
      <c r="Q223" t="s">
        <v>155</v>
      </c>
      <c r="R223" t="s">
        <v>24</v>
      </c>
      <c r="S223">
        <v>111</v>
      </c>
      <c r="T223" t="s">
        <v>25</v>
      </c>
      <c r="U223">
        <v>150</v>
      </c>
      <c r="V223">
        <v>65</v>
      </c>
      <c r="W223">
        <v>1.8</v>
      </c>
      <c r="X223" t="s">
        <v>156</v>
      </c>
      <c r="Y223">
        <v>12.5</v>
      </c>
      <c r="Z223">
        <v>0.15</v>
      </c>
      <c r="AA223">
        <v>0.02</v>
      </c>
      <c r="AB223">
        <v>16650</v>
      </c>
      <c r="AC223">
        <v>16317</v>
      </c>
      <c r="AD223">
        <v>199.8</v>
      </c>
      <c r="AE223">
        <v>2447.5499999999997</v>
      </c>
      <c r="AF223">
        <v>2448</v>
      </c>
      <c r="AG223">
        <v>7215</v>
      </c>
      <c r="AH223">
        <v>4206.4500000000007</v>
      </c>
      <c r="AI223" s="5">
        <v>0.25779555065269399</v>
      </c>
    </row>
    <row r="224" spans="14:35" x14ac:dyDescent="0.25">
      <c r="N224" t="s">
        <v>240</v>
      </c>
      <c r="O224" s="1">
        <v>46170.541666666664</v>
      </c>
      <c r="P224" t="s">
        <v>22</v>
      </c>
      <c r="Q224" t="s">
        <v>155</v>
      </c>
      <c r="R224" t="s">
        <v>29</v>
      </c>
      <c r="S224">
        <v>182</v>
      </c>
      <c r="T224" t="s">
        <v>25</v>
      </c>
      <c r="U224">
        <v>150</v>
      </c>
      <c r="V224">
        <v>65</v>
      </c>
      <c r="W224">
        <v>1.8</v>
      </c>
      <c r="X224" t="s">
        <v>156</v>
      </c>
      <c r="Y224">
        <v>12.5</v>
      </c>
      <c r="Z224">
        <v>0.15</v>
      </c>
      <c r="AA224">
        <v>0.1</v>
      </c>
      <c r="AB224">
        <v>27300</v>
      </c>
      <c r="AC224">
        <v>24570</v>
      </c>
      <c r="AD224">
        <v>327.60000000000002</v>
      </c>
      <c r="AE224">
        <v>3685.5</v>
      </c>
      <c r="AF224">
        <v>3686</v>
      </c>
      <c r="AG224">
        <v>11830</v>
      </c>
      <c r="AH224">
        <v>5368.5</v>
      </c>
      <c r="AI224" s="5">
        <v>0.218498168498168</v>
      </c>
    </row>
    <row r="225" spans="14:35" x14ac:dyDescent="0.25">
      <c r="N225" t="s">
        <v>241</v>
      </c>
      <c r="O225" s="1">
        <v>46170.666666666664</v>
      </c>
      <c r="P225" t="s">
        <v>22</v>
      </c>
      <c r="Q225" t="s">
        <v>155</v>
      </c>
      <c r="R225" t="s">
        <v>32</v>
      </c>
      <c r="S225">
        <v>150</v>
      </c>
      <c r="T225" t="s">
        <v>25</v>
      </c>
      <c r="U225">
        <v>150</v>
      </c>
      <c r="V225">
        <v>65</v>
      </c>
      <c r="W225">
        <v>1.8</v>
      </c>
      <c r="X225" t="s">
        <v>156</v>
      </c>
      <c r="Y225">
        <v>12.5</v>
      </c>
      <c r="Z225">
        <v>0.15</v>
      </c>
      <c r="AA225">
        <v>0.05</v>
      </c>
      <c r="AB225">
        <v>22500</v>
      </c>
      <c r="AC225">
        <v>21375</v>
      </c>
      <c r="AD225">
        <v>270</v>
      </c>
      <c r="AE225">
        <v>3206.25</v>
      </c>
      <c r="AF225">
        <v>3206</v>
      </c>
      <c r="AG225">
        <v>9750</v>
      </c>
      <c r="AH225">
        <v>5212.75</v>
      </c>
      <c r="AI225" s="5">
        <v>0.24387134502923999</v>
      </c>
    </row>
    <row r="226" spans="14:35" x14ac:dyDescent="0.25">
      <c r="N226" t="s">
        <v>242</v>
      </c>
      <c r="O226" s="1">
        <v>46170.791666666664</v>
      </c>
      <c r="P226" t="s">
        <v>22</v>
      </c>
      <c r="Q226" t="s">
        <v>155</v>
      </c>
      <c r="R226" t="s">
        <v>29</v>
      </c>
      <c r="S226">
        <v>169</v>
      </c>
      <c r="T226" t="s">
        <v>25</v>
      </c>
      <c r="U226">
        <v>150</v>
      </c>
      <c r="V226">
        <v>65</v>
      </c>
      <c r="W226">
        <v>1.8</v>
      </c>
      <c r="X226" t="s">
        <v>156</v>
      </c>
      <c r="Y226">
        <v>12.5</v>
      </c>
      <c r="Z226">
        <v>0.15</v>
      </c>
      <c r="AA226">
        <v>0.1</v>
      </c>
      <c r="AB226">
        <v>25350</v>
      </c>
      <c r="AC226">
        <v>22815</v>
      </c>
      <c r="AD226">
        <v>304.2</v>
      </c>
      <c r="AE226">
        <v>3422.25</v>
      </c>
      <c r="AF226">
        <v>3422</v>
      </c>
      <c r="AG226">
        <v>10985</v>
      </c>
      <c r="AH226">
        <v>4985.75</v>
      </c>
      <c r="AI226" s="5">
        <v>0.21852947622178401</v>
      </c>
    </row>
    <row r="227" spans="14:35" x14ac:dyDescent="0.25">
      <c r="N227" t="s">
        <v>243</v>
      </c>
      <c r="O227" s="1">
        <v>46171.208333333336</v>
      </c>
      <c r="P227" t="s">
        <v>22</v>
      </c>
      <c r="Q227" t="s">
        <v>155</v>
      </c>
      <c r="R227" t="s">
        <v>32</v>
      </c>
      <c r="S227">
        <v>93</v>
      </c>
      <c r="T227" t="s">
        <v>25</v>
      </c>
      <c r="U227">
        <v>150</v>
      </c>
      <c r="V227">
        <v>65</v>
      </c>
      <c r="W227">
        <v>1.8</v>
      </c>
      <c r="X227" t="s">
        <v>156</v>
      </c>
      <c r="Y227">
        <v>12.5</v>
      </c>
      <c r="Z227">
        <v>0.15</v>
      </c>
      <c r="AA227">
        <v>0.05</v>
      </c>
      <c r="AB227">
        <v>13950</v>
      </c>
      <c r="AC227">
        <v>13252</v>
      </c>
      <c r="AD227">
        <v>167.4</v>
      </c>
      <c r="AE227">
        <v>1987.8</v>
      </c>
      <c r="AF227">
        <v>1988</v>
      </c>
      <c r="AG227">
        <v>6045</v>
      </c>
      <c r="AH227">
        <v>3231.2000000000007</v>
      </c>
      <c r="AI227" s="5">
        <v>0.243827346815575</v>
      </c>
    </row>
    <row r="228" spans="14:35" x14ac:dyDescent="0.25">
      <c r="N228" t="s">
        <v>244</v>
      </c>
      <c r="O228" s="1">
        <v>46171.25</v>
      </c>
      <c r="P228" t="s">
        <v>22</v>
      </c>
      <c r="Q228" t="s">
        <v>155</v>
      </c>
      <c r="R228" t="s">
        <v>29</v>
      </c>
      <c r="S228">
        <v>50</v>
      </c>
      <c r="T228" t="s">
        <v>25</v>
      </c>
      <c r="U228">
        <v>150</v>
      </c>
      <c r="V228">
        <v>65</v>
      </c>
      <c r="W228">
        <v>1.8</v>
      </c>
      <c r="X228" t="s">
        <v>156</v>
      </c>
      <c r="Y228">
        <v>12.5</v>
      </c>
      <c r="Z228">
        <v>0.15</v>
      </c>
      <c r="AA228">
        <v>0.1</v>
      </c>
      <c r="AB228">
        <v>7500</v>
      </c>
      <c r="AC228">
        <v>6750</v>
      </c>
      <c r="AD228">
        <v>90</v>
      </c>
      <c r="AE228">
        <v>1012.5</v>
      </c>
      <c r="AF228">
        <v>1012</v>
      </c>
      <c r="AG228">
        <v>3250</v>
      </c>
      <c r="AH228">
        <v>1475.5</v>
      </c>
      <c r="AI228" s="5">
        <v>0.218592592592593</v>
      </c>
    </row>
    <row r="229" spans="14:35" x14ac:dyDescent="0.25">
      <c r="N229" t="s">
        <v>245</v>
      </c>
      <c r="O229" s="1">
        <v>46171.458333333336</v>
      </c>
      <c r="P229" t="s">
        <v>22</v>
      </c>
      <c r="Q229" t="s">
        <v>155</v>
      </c>
      <c r="R229" t="s">
        <v>32</v>
      </c>
      <c r="S229">
        <v>90</v>
      </c>
      <c r="T229" t="s">
        <v>25</v>
      </c>
      <c r="U229">
        <v>150</v>
      </c>
      <c r="V229">
        <v>65</v>
      </c>
      <c r="W229">
        <v>1.8</v>
      </c>
      <c r="X229" t="s">
        <v>156</v>
      </c>
      <c r="Y229">
        <v>12.5</v>
      </c>
      <c r="Z229">
        <v>0.15</v>
      </c>
      <c r="AA229">
        <v>0.05</v>
      </c>
      <c r="AB229">
        <v>13500</v>
      </c>
      <c r="AC229">
        <v>12825</v>
      </c>
      <c r="AD229">
        <v>162</v>
      </c>
      <c r="AE229">
        <v>1923.75</v>
      </c>
      <c r="AF229">
        <v>1924</v>
      </c>
      <c r="AG229">
        <v>5850</v>
      </c>
      <c r="AH229">
        <v>3127.25</v>
      </c>
      <c r="AI229" s="5">
        <v>0.243840155945419</v>
      </c>
    </row>
    <row r="230" spans="14:35" x14ac:dyDescent="0.25">
      <c r="N230" t="s">
        <v>246</v>
      </c>
      <c r="O230" s="1">
        <v>46171.666666666664</v>
      </c>
      <c r="P230" t="s">
        <v>22</v>
      </c>
      <c r="Q230" t="s">
        <v>155</v>
      </c>
      <c r="R230" t="s">
        <v>32</v>
      </c>
      <c r="S230">
        <v>196</v>
      </c>
      <c r="T230" t="s">
        <v>25</v>
      </c>
      <c r="U230">
        <v>150</v>
      </c>
      <c r="V230">
        <v>65</v>
      </c>
      <c r="W230">
        <v>1.8</v>
      </c>
      <c r="X230" t="s">
        <v>156</v>
      </c>
      <c r="Y230">
        <v>12.5</v>
      </c>
      <c r="Z230">
        <v>0.15</v>
      </c>
      <c r="AA230">
        <v>0.05</v>
      </c>
      <c r="AB230">
        <v>29400</v>
      </c>
      <c r="AC230">
        <v>27930</v>
      </c>
      <c r="AD230">
        <v>352.8</v>
      </c>
      <c r="AE230">
        <v>4189.5</v>
      </c>
      <c r="AF230">
        <v>4190</v>
      </c>
      <c r="AG230">
        <v>12740</v>
      </c>
      <c r="AH230">
        <v>6810.5</v>
      </c>
      <c r="AI230" s="5">
        <v>0.24384174722520599</v>
      </c>
    </row>
    <row r="231" spans="14:35" x14ac:dyDescent="0.25">
      <c r="N231" t="s">
        <v>247</v>
      </c>
      <c r="O231" s="1">
        <v>46172.041666666664</v>
      </c>
      <c r="P231" t="s">
        <v>22</v>
      </c>
      <c r="Q231" t="s">
        <v>155</v>
      </c>
      <c r="R231" t="s">
        <v>29</v>
      </c>
      <c r="S231">
        <v>144</v>
      </c>
      <c r="T231" t="s">
        <v>25</v>
      </c>
      <c r="U231">
        <v>150</v>
      </c>
      <c r="V231">
        <v>65</v>
      </c>
      <c r="W231">
        <v>1.8</v>
      </c>
      <c r="X231" t="s">
        <v>156</v>
      </c>
      <c r="Y231">
        <v>12.5</v>
      </c>
      <c r="Z231">
        <v>0.15</v>
      </c>
      <c r="AA231">
        <v>0.1</v>
      </c>
      <c r="AB231">
        <v>21600</v>
      </c>
      <c r="AC231">
        <v>19440</v>
      </c>
      <c r="AD231">
        <v>259.2</v>
      </c>
      <c r="AE231">
        <v>2916</v>
      </c>
      <c r="AF231">
        <v>2916</v>
      </c>
      <c r="AG231">
        <v>9360</v>
      </c>
      <c r="AH231">
        <v>4248</v>
      </c>
      <c r="AI231" s="5">
        <v>0.218518518518519</v>
      </c>
    </row>
    <row r="232" spans="14:35" x14ac:dyDescent="0.25">
      <c r="N232" t="s">
        <v>248</v>
      </c>
      <c r="O232" s="1">
        <v>46172.166666666664</v>
      </c>
      <c r="P232" t="s">
        <v>22</v>
      </c>
      <c r="Q232" t="s">
        <v>155</v>
      </c>
      <c r="R232" t="s">
        <v>29</v>
      </c>
      <c r="S232">
        <v>122</v>
      </c>
      <c r="T232" t="s">
        <v>25</v>
      </c>
      <c r="U232">
        <v>150</v>
      </c>
      <c r="V232">
        <v>65</v>
      </c>
      <c r="W232">
        <v>1.8</v>
      </c>
      <c r="X232" t="s">
        <v>156</v>
      </c>
      <c r="Y232">
        <v>12.5</v>
      </c>
      <c r="Z232">
        <v>0.15</v>
      </c>
      <c r="AA232">
        <v>0.1</v>
      </c>
      <c r="AB232">
        <v>18300</v>
      </c>
      <c r="AC232">
        <v>16470</v>
      </c>
      <c r="AD232">
        <v>219.6</v>
      </c>
      <c r="AE232">
        <v>2470.5</v>
      </c>
      <c r="AF232">
        <v>2470</v>
      </c>
      <c r="AG232">
        <v>7930</v>
      </c>
      <c r="AH232">
        <v>3599.5</v>
      </c>
      <c r="AI232" s="5">
        <v>0.218548876745598</v>
      </c>
    </row>
    <row r="233" spans="14:35" x14ac:dyDescent="0.25">
      <c r="N233" t="s">
        <v>249</v>
      </c>
      <c r="O233" s="1">
        <v>46173.041666666664</v>
      </c>
      <c r="P233" t="s">
        <v>22</v>
      </c>
      <c r="Q233" t="s">
        <v>155</v>
      </c>
      <c r="R233" t="s">
        <v>29</v>
      </c>
      <c r="S233">
        <v>76</v>
      </c>
      <c r="T233" t="s">
        <v>25</v>
      </c>
      <c r="U233">
        <v>150</v>
      </c>
      <c r="V233">
        <v>65</v>
      </c>
      <c r="W233">
        <v>1.8</v>
      </c>
      <c r="X233" t="s">
        <v>156</v>
      </c>
      <c r="Y233">
        <v>12.5</v>
      </c>
      <c r="Z233">
        <v>0.15</v>
      </c>
      <c r="AA233">
        <v>0.1</v>
      </c>
      <c r="AB233">
        <v>11400</v>
      </c>
      <c r="AC233">
        <v>10260</v>
      </c>
      <c r="AD233">
        <v>136.80000000000001</v>
      </c>
      <c r="AE233">
        <v>1539</v>
      </c>
      <c r="AF233">
        <v>1539</v>
      </c>
      <c r="AG233">
        <v>4940</v>
      </c>
      <c r="AH233">
        <v>2242</v>
      </c>
      <c r="AI233" s="5">
        <v>0.218518518518519</v>
      </c>
    </row>
    <row r="234" spans="14:35" x14ac:dyDescent="0.25">
      <c r="N234" t="s">
        <v>250</v>
      </c>
      <c r="O234" s="1">
        <v>46173.458333333336</v>
      </c>
      <c r="P234" t="s">
        <v>22</v>
      </c>
      <c r="Q234" t="s">
        <v>155</v>
      </c>
      <c r="R234" t="s">
        <v>32</v>
      </c>
      <c r="S234">
        <v>96</v>
      </c>
      <c r="T234" t="s">
        <v>25</v>
      </c>
      <c r="U234">
        <v>150</v>
      </c>
      <c r="V234">
        <v>65</v>
      </c>
      <c r="W234">
        <v>1.8</v>
      </c>
      <c r="X234" t="s">
        <v>156</v>
      </c>
      <c r="Y234">
        <v>12.5</v>
      </c>
      <c r="Z234">
        <v>0.15</v>
      </c>
      <c r="AA234">
        <v>0.05</v>
      </c>
      <c r="AB234">
        <v>14400</v>
      </c>
      <c r="AC234">
        <v>13680</v>
      </c>
      <c r="AD234">
        <v>172.8</v>
      </c>
      <c r="AE234">
        <v>2052</v>
      </c>
      <c r="AF234">
        <v>2052</v>
      </c>
      <c r="AG234">
        <v>6240</v>
      </c>
      <c r="AH234">
        <v>3336</v>
      </c>
      <c r="AI234" s="5">
        <v>0.243859649122807</v>
      </c>
    </row>
    <row r="235" spans="14:35" x14ac:dyDescent="0.25">
      <c r="N235" t="s">
        <v>251</v>
      </c>
      <c r="O235" s="1">
        <v>46173.5</v>
      </c>
      <c r="P235" t="s">
        <v>22</v>
      </c>
      <c r="Q235" t="s">
        <v>155</v>
      </c>
      <c r="R235" t="s">
        <v>24</v>
      </c>
      <c r="S235">
        <v>16</v>
      </c>
      <c r="T235" t="s">
        <v>25</v>
      </c>
      <c r="U235">
        <v>150</v>
      </c>
      <c r="V235">
        <v>65</v>
      </c>
      <c r="W235">
        <v>1.8</v>
      </c>
      <c r="X235" t="s">
        <v>156</v>
      </c>
      <c r="Y235">
        <v>12.5</v>
      </c>
      <c r="Z235">
        <v>0.15</v>
      </c>
      <c r="AA235">
        <v>0.02</v>
      </c>
      <c r="AB235">
        <v>2400</v>
      </c>
      <c r="AC235">
        <v>2352</v>
      </c>
      <c r="AD235">
        <v>28.8</v>
      </c>
      <c r="AE235">
        <v>352.8</v>
      </c>
      <c r="AF235">
        <v>353</v>
      </c>
      <c r="AG235">
        <v>1040</v>
      </c>
      <c r="AH235">
        <v>606.20000000000005</v>
      </c>
      <c r="AI235" s="5">
        <v>0.25773809523809499</v>
      </c>
    </row>
    <row r="236" spans="14:35" x14ac:dyDescent="0.25">
      <c r="N236" t="s">
        <v>252</v>
      </c>
      <c r="O236" s="1">
        <v>46173.958333333336</v>
      </c>
      <c r="P236" t="s">
        <v>22</v>
      </c>
      <c r="Q236" t="s">
        <v>155</v>
      </c>
      <c r="R236" t="s">
        <v>32</v>
      </c>
      <c r="S236">
        <v>90</v>
      </c>
      <c r="T236" t="s">
        <v>25</v>
      </c>
      <c r="U236">
        <v>150</v>
      </c>
      <c r="V236">
        <v>65</v>
      </c>
      <c r="W236">
        <v>1.8</v>
      </c>
      <c r="X236" t="s">
        <v>156</v>
      </c>
      <c r="Y236">
        <v>12.5</v>
      </c>
      <c r="Z236">
        <v>0.15</v>
      </c>
      <c r="AA236">
        <v>0.05</v>
      </c>
      <c r="AB236">
        <v>13500</v>
      </c>
      <c r="AC236">
        <v>12825</v>
      </c>
      <c r="AD236">
        <v>162</v>
      </c>
      <c r="AE236">
        <v>1923.75</v>
      </c>
      <c r="AF236">
        <v>1924</v>
      </c>
      <c r="AG236">
        <v>5850</v>
      </c>
      <c r="AH236">
        <v>3127.25</v>
      </c>
      <c r="AI236" s="5">
        <v>0.243840155945419</v>
      </c>
    </row>
    <row r="237" spans="14:35" x14ac:dyDescent="0.25">
      <c r="N237" t="s">
        <v>253</v>
      </c>
      <c r="O237" s="1">
        <v>46174.166666666664</v>
      </c>
      <c r="P237" t="s">
        <v>22</v>
      </c>
      <c r="Q237" t="s">
        <v>155</v>
      </c>
      <c r="R237" t="s">
        <v>32</v>
      </c>
      <c r="S237">
        <v>66</v>
      </c>
      <c r="T237" t="s">
        <v>25</v>
      </c>
      <c r="U237">
        <v>150</v>
      </c>
      <c r="V237">
        <v>65</v>
      </c>
      <c r="W237">
        <v>1.8</v>
      </c>
      <c r="X237" t="s">
        <v>156</v>
      </c>
      <c r="Y237">
        <v>12.5</v>
      </c>
      <c r="Z237">
        <v>0.15</v>
      </c>
      <c r="AA237">
        <v>0.05</v>
      </c>
      <c r="AB237">
        <v>9900</v>
      </c>
      <c r="AC237">
        <v>9405</v>
      </c>
      <c r="AD237">
        <v>118.8</v>
      </c>
      <c r="AE237">
        <v>1410.75</v>
      </c>
      <c r="AF237">
        <v>1411</v>
      </c>
      <c r="AG237">
        <v>4290</v>
      </c>
      <c r="AH237">
        <v>2293.25</v>
      </c>
      <c r="AI237" s="5">
        <v>0.24383306751727801</v>
      </c>
    </row>
    <row r="238" spans="14:35" x14ac:dyDescent="0.25">
      <c r="N238" t="s">
        <v>254</v>
      </c>
      <c r="O238" s="1">
        <v>46174.666666666664</v>
      </c>
      <c r="P238" t="s">
        <v>22</v>
      </c>
      <c r="Q238" t="s">
        <v>155</v>
      </c>
      <c r="R238" t="s">
        <v>32</v>
      </c>
      <c r="S238">
        <v>192</v>
      </c>
      <c r="T238" t="s">
        <v>25</v>
      </c>
      <c r="U238">
        <v>150</v>
      </c>
      <c r="V238">
        <v>65</v>
      </c>
      <c r="W238">
        <v>1.8</v>
      </c>
      <c r="X238" t="s">
        <v>156</v>
      </c>
      <c r="Y238">
        <v>12.5</v>
      </c>
      <c r="Z238">
        <v>0.15</v>
      </c>
      <c r="AA238">
        <v>0.05</v>
      </c>
      <c r="AB238">
        <v>28800</v>
      </c>
      <c r="AC238">
        <v>27360</v>
      </c>
      <c r="AD238">
        <v>345.6</v>
      </c>
      <c r="AE238">
        <v>4104</v>
      </c>
      <c r="AF238">
        <v>4104</v>
      </c>
      <c r="AG238">
        <v>12480</v>
      </c>
      <c r="AH238">
        <v>6672</v>
      </c>
      <c r="AI238" s="5">
        <v>0.243859649122807</v>
      </c>
    </row>
    <row r="239" spans="14:35" x14ac:dyDescent="0.25">
      <c r="N239" t="s">
        <v>255</v>
      </c>
      <c r="O239" s="1">
        <v>46174.875</v>
      </c>
      <c r="P239" t="s">
        <v>22</v>
      </c>
      <c r="Q239" t="s">
        <v>155</v>
      </c>
      <c r="R239" t="s">
        <v>32</v>
      </c>
      <c r="S239">
        <v>180</v>
      </c>
      <c r="T239" t="s">
        <v>25</v>
      </c>
      <c r="U239">
        <v>150</v>
      </c>
      <c r="V239">
        <v>65</v>
      </c>
      <c r="W239">
        <v>1.8</v>
      </c>
      <c r="X239" t="s">
        <v>156</v>
      </c>
      <c r="Y239">
        <v>12.5</v>
      </c>
      <c r="Z239">
        <v>0.15</v>
      </c>
      <c r="AA239">
        <v>0.05</v>
      </c>
      <c r="AB239">
        <v>27000</v>
      </c>
      <c r="AC239">
        <v>25650</v>
      </c>
      <c r="AD239">
        <v>324</v>
      </c>
      <c r="AE239">
        <v>3847.5</v>
      </c>
      <c r="AF239">
        <v>3848</v>
      </c>
      <c r="AG239">
        <v>11700</v>
      </c>
      <c r="AH239">
        <v>6254.5</v>
      </c>
      <c r="AI239" s="5">
        <v>0.243840155945419</v>
      </c>
    </row>
    <row r="240" spans="14:35" x14ac:dyDescent="0.25">
      <c r="N240" t="s">
        <v>256</v>
      </c>
      <c r="O240" s="1">
        <v>46175.791666666664</v>
      </c>
      <c r="P240" t="s">
        <v>22</v>
      </c>
      <c r="Q240" t="s">
        <v>155</v>
      </c>
      <c r="R240" t="s">
        <v>29</v>
      </c>
      <c r="S240">
        <v>145</v>
      </c>
      <c r="T240" t="s">
        <v>25</v>
      </c>
      <c r="U240">
        <v>150</v>
      </c>
      <c r="V240">
        <v>65</v>
      </c>
      <c r="W240">
        <v>1.8</v>
      </c>
      <c r="X240" t="s">
        <v>156</v>
      </c>
      <c r="Y240">
        <v>12.5</v>
      </c>
      <c r="Z240">
        <v>0.15</v>
      </c>
      <c r="AA240">
        <v>0.1</v>
      </c>
      <c r="AB240">
        <v>21750</v>
      </c>
      <c r="AC240">
        <v>19575</v>
      </c>
      <c r="AD240">
        <v>261</v>
      </c>
      <c r="AE240">
        <v>2936.25</v>
      </c>
      <c r="AF240">
        <v>2936</v>
      </c>
      <c r="AG240">
        <v>9425</v>
      </c>
      <c r="AH240">
        <v>4277.75</v>
      </c>
      <c r="AI240" s="5">
        <v>0.2185312899106</v>
      </c>
    </row>
    <row r="241" spans="14:35" x14ac:dyDescent="0.25">
      <c r="N241" t="s">
        <v>257</v>
      </c>
      <c r="O241" s="1">
        <v>46176</v>
      </c>
      <c r="P241" t="s">
        <v>22</v>
      </c>
      <c r="Q241" t="s">
        <v>155</v>
      </c>
      <c r="R241" t="s">
        <v>24</v>
      </c>
      <c r="S241">
        <v>86</v>
      </c>
      <c r="T241" t="s">
        <v>25</v>
      </c>
      <c r="U241">
        <v>150</v>
      </c>
      <c r="V241">
        <v>65</v>
      </c>
      <c r="W241">
        <v>1.8</v>
      </c>
      <c r="X241" t="s">
        <v>156</v>
      </c>
      <c r="Y241">
        <v>12.5</v>
      </c>
      <c r="Z241">
        <v>0.15</v>
      </c>
      <c r="AA241">
        <v>0.02</v>
      </c>
      <c r="AB241">
        <v>12900</v>
      </c>
      <c r="AC241">
        <v>12642</v>
      </c>
      <c r="AD241">
        <v>154.80000000000001</v>
      </c>
      <c r="AE241">
        <v>1896.3</v>
      </c>
      <c r="AF241">
        <v>1896</v>
      </c>
      <c r="AG241">
        <v>5590</v>
      </c>
      <c r="AH241">
        <v>3259.7000000000007</v>
      </c>
      <c r="AI241" s="5">
        <v>0.25784685967410198</v>
      </c>
    </row>
    <row r="242" spans="14:35" x14ac:dyDescent="0.25">
      <c r="N242" t="s">
        <v>258</v>
      </c>
      <c r="O242" s="1">
        <v>46177.25</v>
      </c>
      <c r="P242" t="s">
        <v>22</v>
      </c>
      <c r="Q242" t="s">
        <v>155</v>
      </c>
      <c r="R242" t="s">
        <v>32</v>
      </c>
      <c r="S242">
        <v>52</v>
      </c>
      <c r="T242" t="s">
        <v>25</v>
      </c>
      <c r="U242">
        <v>150</v>
      </c>
      <c r="V242">
        <v>65</v>
      </c>
      <c r="W242">
        <v>1.8</v>
      </c>
      <c r="X242" t="s">
        <v>156</v>
      </c>
      <c r="Y242">
        <v>12.5</v>
      </c>
      <c r="Z242">
        <v>0.15</v>
      </c>
      <c r="AA242">
        <v>0.05</v>
      </c>
      <c r="AB242">
        <v>7800</v>
      </c>
      <c r="AC242">
        <v>7410</v>
      </c>
      <c r="AD242">
        <v>93.600000000000009</v>
      </c>
      <c r="AE242">
        <v>1111.5</v>
      </c>
      <c r="AF242">
        <v>1112</v>
      </c>
      <c r="AG242">
        <v>3380</v>
      </c>
      <c r="AH242">
        <v>1806.5</v>
      </c>
      <c r="AI242" s="5">
        <v>0.24379217273954101</v>
      </c>
    </row>
    <row r="243" spans="14:35" x14ac:dyDescent="0.25">
      <c r="N243" t="s">
        <v>259</v>
      </c>
      <c r="O243" s="1">
        <v>46177.416666666664</v>
      </c>
      <c r="P243" t="s">
        <v>22</v>
      </c>
      <c r="Q243" t="s">
        <v>155</v>
      </c>
      <c r="R243" t="s">
        <v>24</v>
      </c>
      <c r="S243">
        <v>170</v>
      </c>
      <c r="T243" t="s">
        <v>25</v>
      </c>
      <c r="U243">
        <v>150</v>
      </c>
      <c r="V243">
        <v>65</v>
      </c>
      <c r="W243">
        <v>1.8</v>
      </c>
      <c r="X243" t="s">
        <v>156</v>
      </c>
      <c r="Y243">
        <v>12.5</v>
      </c>
      <c r="Z243">
        <v>0.15</v>
      </c>
      <c r="AA243">
        <v>0.02</v>
      </c>
      <c r="AB243">
        <v>25500</v>
      </c>
      <c r="AC243">
        <v>24990</v>
      </c>
      <c r="AD243">
        <v>306</v>
      </c>
      <c r="AE243">
        <v>3748.5</v>
      </c>
      <c r="AF243">
        <v>3748</v>
      </c>
      <c r="AG243">
        <v>11050</v>
      </c>
      <c r="AH243">
        <v>6443.5</v>
      </c>
      <c r="AI243" s="5">
        <v>0.25784313725490199</v>
      </c>
    </row>
    <row r="244" spans="14:35" x14ac:dyDescent="0.25">
      <c r="N244" t="s">
        <v>260</v>
      </c>
      <c r="O244" s="1">
        <v>46177.583333333336</v>
      </c>
      <c r="P244" t="s">
        <v>22</v>
      </c>
      <c r="Q244" t="s">
        <v>155</v>
      </c>
      <c r="R244" t="s">
        <v>24</v>
      </c>
      <c r="S244">
        <v>169</v>
      </c>
      <c r="T244" t="s">
        <v>25</v>
      </c>
      <c r="U244">
        <v>150</v>
      </c>
      <c r="V244">
        <v>65</v>
      </c>
      <c r="W244">
        <v>1.8</v>
      </c>
      <c r="X244" t="s">
        <v>156</v>
      </c>
      <c r="Y244">
        <v>12.5</v>
      </c>
      <c r="Z244">
        <v>0.15</v>
      </c>
      <c r="AA244">
        <v>0.02</v>
      </c>
      <c r="AB244">
        <v>25350</v>
      </c>
      <c r="AC244">
        <v>24843</v>
      </c>
      <c r="AD244">
        <v>304.2</v>
      </c>
      <c r="AE244">
        <v>3726.45</v>
      </c>
      <c r="AF244">
        <v>3726</v>
      </c>
      <c r="AG244">
        <v>10985</v>
      </c>
      <c r="AH244">
        <v>6405.5499999999993</v>
      </c>
      <c r="AI244" s="5">
        <v>0.25784124300607802</v>
      </c>
    </row>
    <row r="245" spans="14:35" x14ac:dyDescent="0.25">
      <c r="N245" t="s">
        <v>261</v>
      </c>
      <c r="O245" s="1">
        <v>46178.208333333336</v>
      </c>
      <c r="P245" t="s">
        <v>22</v>
      </c>
      <c r="Q245" t="s">
        <v>155</v>
      </c>
      <c r="R245" t="s">
        <v>24</v>
      </c>
      <c r="S245">
        <v>128</v>
      </c>
      <c r="T245" t="s">
        <v>25</v>
      </c>
      <c r="U245">
        <v>150</v>
      </c>
      <c r="V245">
        <v>65</v>
      </c>
      <c r="W245">
        <v>1.8</v>
      </c>
      <c r="X245" t="s">
        <v>156</v>
      </c>
      <c r="Y245">
        <v>12.5</v>
      </c>
      <c r="Z245">
        <v>0.15</v>
      </c>
      <c r="AA245">
        <v>0.02</v>
      </c>
      <c r="AB245">
        <v>19200</v>
      </c>
      <c r="AC245">
        <v>18816</v>
      </c>
      <c r="AD245">
        <v>230.4</v>
      </c>
      <c r="AE245">
        <v>2822.4</v>
      </c>
      <c r="AF245">
        <v>2822</v>
      </c>
      <c r="AG245">
        <v>8320</v>
      </c>
      <c r="AH245">
        <v>4851.6000000000004</v>
      </c>
      <c r="AI245" s="5">
        <v>0.25784438775510199</v>
      </c>
    </row>
    <row r="246" spans="14:35" x14ac:dyDescent="0.25">
      <c r="N246" t="s">
        <v>262</v>
      </c>
      <c r="O246" s="1">
        <v>46178.416666666664</v>
      </c>
      <c r="P246" t="s">
        <v>22</v>
      </c>
      <c r="Q246" t="s">
        <v>155</v>
      </c>
      <c r="R246" t="s">
        <v>29</v>
      </c>
      <c r="S246">
        <v>50</v>
      </c>
      <c r="T246" t="s">
        <v>25</v>
      </c>
      <c r="U246">
        <v>150</v>
      </c>
      <c r="V246">
        <v>65</v>
      </c>
      <c r="W246">
        <v>1.8</v>
      </c>
      <c r="X246" t="s">
        <v>156</v>
      </c>
      <c r="Y246">
        <v>12.5</v>
      </c>
      <c r="Z246">
        <v>0.15</v>
      </c>
      <c r="AA246">
        <v>0.1</v>
      </c>
      <c r="AB246">
        <v>7500</v>
      </c>
      <c r="AC246">
        <v>6750</v>
      </c>
      <c r="AD246">
        <v>90</v>
      </c>
      <c r="AE246">
        <v>1012.5</v>
      </c>
      <c r="AF246">
        <v>1012</v>
      </c>
      <c r="AG246">
        <v>3250</v>
      </c>
      <c r="AH246">
        <v>1475.5</v>
      </c>
      <c r="AI246" s="5">
        <v>0.218592592592593</v>
      </c>
    </row>
    <row r="247" spans="14:35" x14ac:dyDescent="0.25">
      <c r="N247" t="s">
        <v>263</v>
      </c>
      <c r="O247" s="1">
        <v>46178.708333333336</v>
      </c>
      <c r="P247" t="s">
        <v>22</v>
      </c>
      <c r="Q247" t="s">
        <v>155</v>
      </c>
      <c r="R247" t="s">
        <v>29</v>
      </c>
      <c r="S247">
        <v>27</v>
      </c>
      <c r="T247" t="s">
        <v>25</v>
      </c>
      <c r="U247">
        <v>150</v>
      </c>
      <c r="V247">
        <v>65</v>
      </c>
      <c r="W247">
        <v>1.8</v>
      </c>
      <c r="X247" t="s">
        <v>156</v>
      </c>
      <c r="Y247">
        <v>12.5</v>
      </c>
      <c r="Z247">
        <v>0.15</v>
      </c>
      <c r="AA247">
        <v>0.1</v>
      </c>
      <c r="AB247">
        <v>4050</v>
      </c>
      <c r="AC247">
        <v>3645</v>
      </c>
      <c r="AD247">
        <v>48.6</v>
      </c>
      <c r="AE247">
        <v>546.75</v>
      </c>
      <c r="AF247">
        <v>547</v>
      </c>
      <c r="AG247">
        <v>1755</v>
      </c>
      <c r="AH247">
        <v>796.25</v>
      </c>
      <c r="AI247" s="5">
        <v>0.21844993141289401</v>
      </c>
    </row>
    <row r="248" spans="14:35" x14ac:dyDescent="0.25">
      <c r="N248" t="s">
        <v>264</v>
      </c>
      <c r="O248" s="1">
        <v>46179</v>
      </c>
      <c r="P248" t="s">
        <v>22</v>
      </c>
      <c r="Q248" t="s">
        <v>155</v>
      </c>
      <c r="R248" t="s">
        <v>32</v>
      </c>
      <c r="S248">
        <v>185</v>
      </c>
      <c r="T248" t="s">
        <v>25</v>
      </c>
      <c r="U248">
        <v>150</v>
      </c>
      <c r="V248">
        <v>65</v>
      </c>
      <c r="W248">
        <v>1.8</v>
      </c>
      <c r="X248" t="s">
        <v>156</v>
      </c>
      <c r="Y248">
        <v>12.5</v>
      </c>
      <c r="Z248">
        <v>0.15</v>
      </c>
      <c r="AA248">
        <v>0.05</v>
      </c>
      <c r="AB248">
        <v>27750</v>
      </c>
      <c r="AC248">
        <v>26362</v>
      </c>
      <c r="AD248">
        <v>333</v>
      </c>
      <c r="AE248">
        <v>3954.2999999999997</v>
      </c>
      <c r="AF248">
        <v>3954</v>
      </c>
      <c r="AG248">
        <v>12025</v>
      </c>
      <c r="AH248">
        <v>6428.7000000000007</v>
      </c>
      <c r="AI248" s="5">
        <v>0.243862377664821</v>
      </c>
    </row>
    <row r="249" spans="14:35" x14ac:dyDescent="0.25">
      <c r="N249" t="s">
        <v>265</v>
      </c>
      <c r="O249" s="1">
        <v>46179.166666666664</v>
      </c>
      <c r="P249" t="s">
        <v>22</v>
      </c>
      <c r="Q249" t="s">
        <v>155</v>
      </c>
      <c r="R249" t="s">
        <v>24</v>
      </c>
      <c r="S249">
        <v>66</v>
      </c>
      <c r="T249" t="s">
        <v>25</v>
      </c>
      <c r="U249">
        <v>150</v>
      </c>
      <c r="V249">
        <v>65</v>
      </c>
      <c r="W249">
        <v>1.8</v>
      </c>
      <c r="X249" t="s">
        <v>156</v>
      </c>
      <c r="Y249">
        <v>12.5</v>
      </c>
      <c r="Z249">
        <v>0.15</v>
      </c>
      <c r="AA249">
        <v>0.02</v>
      </c>
      <c r="AB249">
        <v>9900</v>
      </c>
      <c r="AC249">
        <v>9702</v>
      </c>
      <c r="AD249">
        <v>118.8</v>
      </c>
      <c r="AE249">
        <v>1455.3</v>
      </c>
      <c r="AF249">
        <v>1455</v>
      </c>
      <c r="AG249">
        <v>4290</v>
      </c>
      <c r="AH249">
        <v>2501.6999999999998</v>
      </c>
      <c r="AI249" s="5">
        <v>0.25785405071119399</v>
      </c>
    </row>
    <row r="250" spans="14:35" x14ac:dyDescent="0.25">
      <c r="N250" t="s">
        <v>266</v>
      </c>
      <c r="O250" s="1">
        <v>46180.666666666664</v>
      </c>
      <c r="P250" t="s">
        <v>22</v>
      </c>
      <c r="Q250" t="s">
        <v>155</v>
      </c>
      <c r="R250" t="s">
        <v>32</v>
      </c>
      <c r="S250">
        <v>151</v>
      </c>
      <c r="T250" t="s">
        <v>25</v>
      </c>
      <c r="U250">
        <v>150</v>
      </c>
      <c r="V250">
        <v>65</v>
      </c>
      <c r="W250">
        <v>1.8</v>
      </c>
      <c r="X250" t="s">
        <v>156</v>
      </c>
      <c r="Y250">
        <v>12.5</v>
      </c>
      <c r="Z250">
        <v>0.15</v>
      </c>
      <c r="AA250">
        <v>0.05</v>
      </c>
      <c r="AB250">
        <v>22650</v>
      </c>
      <c r="AC250">
        <v>21518</v>
      </c>
      <c r="AD250">
        <v>271.8</v>
      </c>
      <c r="AE250">
        <v>3227.7</v>
      </c>
      <c r="AF250">
        <v>3228</v>
      </c>
      <c r="AG250">
        <v>9815</v>
      </c>
      <c r="AH250">
        <v>5247.2999999999993</v>
      </c>
      <c r="AI250" s="5">
        <v>0.24385630634817401</v>
      </c>
    </row>
    <row r="251" spans="14:35" x14ac:dyDescent="0.25">
      <c r="N251" t="s">
        <v>267</v>
      </c>
      <c r="O251" s="1">
        <v>46181.083333333336</v>
      </c>
      <c r="P251" t="s">
        <v>22</v>
      </c>
      <c r="Q251" t="s">
        <v>155</v>
      </c>
      <c r="R251" t="s">
        <v>24</v>
      </c>
      <c r="S251">
        <v>196</v>
      </c>
      <c r="T251" t="s">
        <v>25</v>
      </c>
      <c r="U251">
        <v>150</v>
      </c>
      <c r="V251">
        <v>65</v>
      </c>
      <c r="W251">
        <v>1.8</v>
      </c>
      <c r="X251" t="s">
        <v>156</v>
      </c>
      <c r="Y251">
        <v>12.5</v>
      </c>
      <c r="Z251">
        <v>0.15</v>
      </c>
      <c r="AA251">
        <v>0.02</v>
      </c>
      <c r="AB251">
        <v>29400</v>
      </c>
      <c r="AC251">
        <v>28812</v>
      </c>
      <c r="AD251">
        <v>352.8</v>
      </c>
      <c r="AE251">
        <v>4321.8</v>
      </c>
      <c r="AF251">
        <v>4322</v>
      </c>
      <c r="AG251">
        <v>12740</v>
      </c>
      <c r="AH251">
        <v>7428.2000000000007</v>
      </c>
      <c r="AI251" s="5">
        <v>0.25781618769956999</v>
      </c>
    </row>
    <row r="252" spans="14:35" x14ac:dyDescent="0.25">
      <c r="N252" t="s">
        <v>268</v>
      </c>
      <c r="O252" s="1">
        <v>46181.166666666664</v>
      </c>
      <c r="P252" t="s">
        <v>22</v>
      </c>
      <c r="Q252" t="s">
        <v>155</v>
      </c>
      <c r="R252" t="s">
        <v>29</v>
      </c>
      <c r="S252">
        <v>195</v>
      </c>
      <c r="T252" t="s">
        <v>25</v>
      </c>
      <c r="U252">
        <v>150</v>
      </c>
      <c r="V252">
        <v>65</v>
      </c>
      <c r="W252">
        <v>1.8</v>
      </c>
      <c r="X252" t="s">
        <v>156</v>
      </c>
      <c r="Y252">
        <v>12.5</v>
      </c>
      <c r="Z252">
        <v>0.15</v>
      </c>
      <c r="AA252">
        <v>0.1</v>
      </c>
      <c r="AB252">
        <v>29250</v>
      </c>
      <c r="AC252">
        <v>26325</v>
      </c>
      <c r="AD252">
        <v>351</v>
      </c>
      <c r="AE252">
        <v>3948.75</v>
      </c>
      <c r="AF252">
        <v>3949</v>
      </c>
      <c r="AG252">
        <v>12675</v>
      </c>
      <c r="AH252">
        <v>5752.25</v>
      </c>
      <c r="AI252" s="5">
        <v>0.21850902184235499</v>
      </c>
    </row>
    <row r="253" spans="14:35" x14ac:dyDescent="0.25">
      <c r="N253" t="s">
        <v>269</v>
      </c>
      <c r="O253" s="1">
        <v>46181.291666666664</v>
      </c>
      <c r="P253" t="s">
        <v>22</v>
      </c>
      <c r="Q253" t="s">
        <v>155</v>
      </c>
      <c r="R253" t="s">
        <v>29</v>
      </c>
      <c r="S253">
        <v>127</v>
      </c>
      <c r="T253" t="s">
        <v>25</v>
      </c>
      <c r="U253">
        <v>150</v>
      </c>
      <c r="V253">
        <v>65</v>
      </c>
      <c r="W253">
        <v>1.8</v>
      </c>
      <c r="X253" t="s">
        <v>156</v>
      </c>
      <c r="Y253">
        <v>12.5</v>
      </c>
      <c r="Z253">
        <v>0.15</v>
      </c>
      <c r="AA253">
        <v>0.1</v>
      </c>
      <c r="AB253">
        <v>19050</v>
      </c>
      <c r="AC253">
        <v>17145</v>
      </c>
      <c r="AD253">
        <v>228.6</v>
      </c>
      <c r="AE253">
        <v>2571.75</v>
      </c>
      <c r="AF253">
        <v>2572</v>
      </c>
      <c r="AG253">
        <v>8255</v>
      </c>
      <c r="AH253">
        <v>3746.25</v>
      </c>
      <c r="AI253" s="5">
        <v>0.21850393700787399</v>
      </c>
    </row>
    <row r="254" spans="14:35" x14ac:dyDescent="0.25">
      <c r="N254" t="s">
        <v>270</v>
      </c>
      <c r="O254" s="1">
        <v>46182</v>
      </c>
      <c r="P254" t="s">
        <v>22</v>
      </c>
      <c r="Q254" t="s">
        <v>155</v>
      </c>
      <c r="R254" t="s">
        <v>29</v>
      </c>
      <c r="S254">
        <v>154</v>
      </c>
      <c r="T254" t="s">
        <v>25</v>
      </c>
      <c r="U254">
        <v>150</v>
      </c>
      <c r="V254">
        <v>65</v>
      </c>
      <c r="W254">
        <v>1.8</v>
      </c>
      <c r="X254" t="s">
        <v>156</v>
      </c>
      <c r="Y254">
        <v>12.5</v>
      </c>
      <c r="Z254">
        <v>0.15</v>
      </c>
      <c r="AA254">
        <v>0.1</v>
      </c>
      <c r="AB254">
        <v>23100</v>
      </c>
      <c r="AC254">
        <v>20790</v>
      </c>
      <c r="AD254">
        <v>277.2</v>
      </c>
      <c r="AE254">
        <v>3118.5</v>
      </c>
      <c r="AF254">
        <v>3118</v>
      </c>
      <c r="AG254">
        <v>10010</v>
      </c>
      <c r="AH254">
        <v>4543.5</v>
      </c>
      <c r="AI254" s="5">
        <v>0.21854256854256901</v>
      </c>
    </row>
    <row r="255" spans="14:35" x14ac:dyDescent="0.25">
      <c r="N255" t="s">
        <v>271</v>
      </c>
      <c r="O255" s="1">
        <v>46182.583333333336</v>
      </c>
      <c r="P255" t="s">
        <v>22</v>
      </c>
      <c r="Q255" t="s">
        <v>155</v>
      </c>
      <c r="R255" t="s">
        <v>29</v>
      </c>
      <c r="S255">
        <v>190</v>
      </c>
      <c r="T255" t="s">
        <v>25</v>
      </c>
      <c r="U255">
        <v>150</v>
      </c>
      <c r="V255">
        <v>65</v>
      </c>
      <c r="W255">
        <v>1.8</v>
      </c>
      <c r="X255" t="s">
        <v>156</v>
      </c>
      <c r="Y255">
        <v>12.5</v>
      </c>
      <c r="Z255">
        <v>0.15</v>
      </c>
      <c r="AA255">
        <v>0.1</v>
      </c>
      <c r="AB255">
        <v>28500</v>
      </c>
      <c r="AC255">
        <v>25650</v>
      </c>
      <c r="AD255">
        <v>342</v>
      </c>
      <c r="AE255">
        <v>3847.5</v>
      </c>
      <c r="AF255">
        <v>3848</v>
      </c>
      <c r="AG255">
        <v>12350</v>
      </c>
      <c r="AH255">
        <v>5604.5</v>
      </c>
      <c r="AI255" s="5">
        <v>0.218499025341131</v>
      </c>
    </row>
    <row r="256" spans="14:35" x14ac:dyDescent="0.25">
      <c r="N256" t="s">
        <v>272</v>
      </c>
      <c r="O256" s="1">
        <v>46182.708333333336</v>
      </c>
      <c r="P256" t="s">
        <v>22</v>
      </c>
      <c r="Q256" t="s">
        <v>155</v>
      </c>
      <c r="R256" t="s">
        <v>24</v>
      </c>
      <c r="S256">
        <v>155</v>
      </c>
      <c r="T256" t="s">
        <v>25</v>
      </c>
      <c r="U256">
        <v>150</v>
      </c>
      <c r="V256">
        <v>65</v>
      </c>
      <c r="W256">
        <v>1.8</v>
      </c>
      <c r="X256" t="s">
        <v>156</v>
      </c>
      <c r="Y256">
        <v>12.5</v>
      </c>
      <c r="Z256">
        <v>0.15</v>
      </c>
      <c r="AA256">
        <v>0.02</v>
      </c>
      <c r="AB256">
        <v>23250</v>
      </c>
      <c r="AC256">
        <v>22785</v>
      </c>
      <c r="AD256">
        <v>279</v>
      </c>
      <c r="AE256">
        <v>3417.75</v>
      </c>
      <c r="AF256">
        <v>3418</v>
      </c>
      <c r="AG256">
        <v>10075</v>
      </c>
      <c r="AH256">
        <v>5874.25</v>
      </c>
      <c r="AI256" s="5">
        <v>0.25781215712091299</v>
      </c>
    </row>
    <row r="257" spans="14:35" x14ac:dyDescent="0.25">
      <c r="N257" t="s">
        <v>273</v>
      </c>
      <c r="O257" s="1">
        <v>46183.333333333336</v>
      </c>
      <c r="P257" t="s">
        <v>22</v>
      </c>
      <c r="Q257" t="s">
        <v>155</v>
      </c>
      <c r="R257" t="s">
        <v>32</v>
      </c>
      <c r="S257">
        <v>42</v>
      </c>
      <c r="T257" t="s">
        <v>25</v>
      </c>
      <c r="U257">
        <v>150</v>
      </c>
      <c r="V257">
        <v>65</v>
      </c>
      <c r="W257">
        <v>1.8</v>
      </c>
      <c r="X257" t="s">
        <v>156</v>
      </c>
      <c r="Y257">
        <v>12.5</v>
      </c>
      <c r="Z257">
        <v>0.15</v>
      </c>
      <c r="AA257">
        <v>0.05</v>
      </c>
      <c r="AB257">
        <v>6300</v>
      </c>
      <c r="AC257">
        <v>5985</v>
      </c>
      <c r="AD257">
        <v>75.600000000000009</v>
      </c>
      <c r="AE257">
        <v>897.75</v>
      </c>
      <c r="AF257">
        <v>898</v>
      </c>
      <c r="AG257">
        <v>2730</v>
      </c>
      <c r="AH257">
        <v>1459.25</v>
      </c>
      <c r="AI257" s="5">
        <v>0.24381787802840399</v>
      </c>
    </row>
    <row r="258" spans="14:35" x14ac:dyDescent="0.25">
      <c r="N258" t="s">
        <v>274</v>
      </c>
      <c r="O258" s="1">
        <v>46183.625</v>
      </c>
      <c r="P258" t="s">
        <v>22</v>
      </c>
      <c r="Q258" t="s">
        <v>155</v>
      </c>
      <c r="R258" t="s">
        <v>24</v>
      </c>
      <c r="S258">
        <v>17</v>
      </c>
      <c r="T258" t="s">
        <v>25</v>
      </c>
      <c r="U258">
        <v>150</v>
      </c>
      <c r="V258">
        <v>65</v>
      </c>
      <c r="W258">
        <v>1.8</v>
      </c>
      <c r="X258" t="s">
        <v>156</v>
      </c>
      <c r="Y258">
        <v>12.5</v>
      </c>
      <c r="Z258">
        <v>0.15</v>
      </c>
      <c r="AA258">
        <v>0.02</v>
      </c>
      <c r="AB258">
        <v>2550</v>
      </c>
      <c r="AC258">
        <v>2499</v>
      </c>
      <c r="AD258">
        <v>30.6</v>
      </c>
      <c r="AE258">
        <v>374.84999999999997</v>
      </c>
      <c r="AF258">
        <v>375</v>
      </c>
      <c r="AG258">
        <v>1105</v>
      </c>
      <c r="AH258">
        <v>644.15000000000009</v>
      </c>
      <c r="AI258" s="5">
        <v>0.257763105242097</v>
      </c>
    </row>
    <row r="259" spans="14:35" x14ac:dyDescent="0.25">
      <c r="N259" t="s">
        <v>275</v>
      </c>
      <c r="O259" s="1">
        <v>46184.041666666664</v>
      </c>
      <c r="P259" t="s">
        <v>22</v>
      </c>
      <c r="Q259" t="s">
        <v>155</v>
      </c>
      <c r="R259" t="s">
        <v>32</v>
      </c>
      <c r="S259">
        <v>10</v>
      </c>
      <c r="T259" t="s">
        <v>25</v>
      </c>
      <c r="U259">
        <v>150</v>
      </c>
      <c r="V259">
        <v>65</v>
      </c>
      <c r="W259">
        <v>1.8</v>
      </c>
      <c r="X259" t="s">
        <v>156</v>
      </c>
      <c r="Y259">
        <v>12.5</v>
      </c>
      <c r="Z259">
        <v>0.15</v>
      </c>
      <c r="AA259">
        <v>0.05</v>
      </c>
      <c r="AB259">
        <v>1500</v>
      </c>
      <c r="AC259">
        <v>1425</v>
      </c>
      <c r="AD259">
        <v>18</v>
      </c>
      <c r="AE259">
        <v>213.75</v>
      </c>
      <c r="AF259">
        <v>214</v>
      </c>
      <c r="AG259">
        <v>650</v>
      </c>
      <c r="AH259">
        <v>347.25</v>
      </c>
      <c r="AI259" s="5">
        <v>0.243684210526316</v>
      </c>
    </row>
    <row r="260" spans="14:35" x14ac:dyDescent="0.25">
      <c r="N260" t="s">
        <v>276</v>
      </c>
      <c r="O260" s="1">
        <v>46143.666666666664</v>
      </c>
      <c r="P260" t="s">
        <v>22</v>
      </c>
      <c r="Q260" t="s">
        <v>277</v>
      </c>
      <c r="R260" t="s">
        <v>24</v>
      </c>
      <c r="S260">
        <v>176</v>
      </c>
      <c r="T260" t="s">
        <v>25</v>
      </c>
      <c r="U260">
        <v>150</v>
      </c>
      <c r="V260">
        <v>65</v>
      </c>
      <c r="W260">
        <v>1.8</v>
      </c>
      <c r="X260" t="s">
        <v>278</v>
      </c>
      <c r="Y260">
        <v>8</v>
      </c>
      <c r="Z260">
        <v>0.12</v>
      </c>
      <c r="AA260">
        <v>0.02</v>
      </c>
      <c r="AB260">
        <v>26400</v>
      </c>
      <c r="AC260">
        <v>25872</v>
      </c>
      <c r="AD260">
        <v>316.8</v>
      </c>
      <c r="AE260">
        <v>3104.64</v>
      </c>
      <c r="AF260">
        <v>3105</v>
      </c>
      <c r="AG260">
        <v>11440</v>
      </c>
      <c r="AH260">
        <v>8222.36</v>
      </c>
      <c r="AI260" s="5">
        <v>0.317809214594929</v>
      </c>
    </row>
    <row r="261" spans="14:35" x14ac:dyDescent="0.25">
      <c r="N261" t="s">
        <v>279</v>
      </c>
      <c r="O261" s="1">
        <v>46144.208333333336</v>
      </c>
      <c r="P261" t="s">
        <v>22</v>
      </c>
      <c r="Q261" t="s">
        <v>277</v>
      </c>
      <c r="R261" t="s">
        <v>32</v>
      </c>
      <c r="S261">
        <v>63</v>
      </c>
      <c r="T261" t="s">
        <v>25</v>
      </c>
      <c r="U261">
        <v>150</v>
      </c>
      <c r="V261">
        <v>65</v>
      </c>
      <c r="W261">
        <v>1.8</v>
      </c>
      <c r="X261" t="s">
        <v>278</v>
      </c>
      <c r="Y261">
        <v>8</v>
      </c>
      <c r="Z261">
        <v>0.12</v>
      </c>
      <c r="AA261">
        <v>0.05</v>
      </c>
      <c r="AB261">
        <v>9450</v>
      </c>
      <c r="AC261">
        <v>8978</v>
      </c>
      <c r="AD261">
        <v>113.4</v>
      </c>
      <c r="AE261">
        <v>1077.3599999999999</v>
      </c>
      <c r="AF261">
        <v>1077</v>
      </c>
      <c r="AG261">
        <v>4095</v>
      </c>
      <c r="AH261">
        <v>2728.6400000000003</v>
      </c>
      <c r="AI261" s="5">
        <v>0.30392515036756501</v>
      </c>
    </row>
    <row r="262" spans="14:35" x14ac:dyDescent="0.25">
      <c r="N262" t="s">
        <v>280</v>
      </c>
      <c r="O262" s="1">
        <v>46144.625</v>
      </c>
      <c r="P262" t="s">
        <v>22</v>
      </c>
      <c r="Q262" t="s">
        <v>277</v>
      </c>
      <c r="R262" t="s">
        <v>29</v>
      </c>
      <c r="S262">
        <v>136</v>
      </c>
      <c r="T262" t="s">
        <v>25</v>
      </c>
      <c r="U262">
        <v>150</v>
      </c>
      <c r="V262">
        <v>65</v>
      </c>
      <c r="W262">
        <v>1.8</v>
      </c>
      <c r="X262" t="s">
        <v>278</v>
      </c>
      <c r="Y262">
        <v>8</v>
      </c>
      <c r="Z262">
        <v>0.12</v>
      </c>
      <c r="AA262">
        <v>0.1</v>
      </c>
      <c r="AB262">
        <v>20400</v>
      </c>
      <c r="AC262">
        <v>18360</v>
      </c>
      <c r="AD262">
        <v>244.8</v>
      </c>
      <c r="AE262">
        <v>2203.1999999999998</v>
      </c>
      <c r="AF262">
        <v>2203</v>
      </c>
      <c r="AG262">
        <v>8840</v>
      </c>
      <c r="AH262">
        <v>5113.7999999999993</v>
      </c>
      <c r="AI262" s="5">
        <v>0.27852941176470603</v>
      </c>
    </row>
    <row r="263" spans="14:35" x14ac:dyDescent="0.25">
      <c r="N263" t="s">
        <v>281</v>
      </c>
      <c r="O263" s="1">
        <v>46144.875</v>
      </c>
      <c r="P263" t="s">
        <v>22</v>
      </c>
      <c r="Q263" t="s">
        <v>277</v>
      </c>
      <c r="R263" t="s">
        <v>32</v>
      </c>
      <c r="S263">
        <v>14</v>
      </c>
      <c r="T263" t="s">
        <v>25</v>
      </c>
      <c r="U263">
        <v>150</v>
      </c>
      <c r="V263">
        <v>65</v>
      </c>
      <c r="W263">
        <v>1.8</v>
      </c>
      <c r="X263" t="s">
        <v>278</v>
      </c>
      <c r="Y263">
        <v>8</v>
      </c>
      <c r="Z263">
        <v>0.12</v>
      </c>
      <c r="AA263">
        <v>0.05</v>
      </c>
      <c r="AB263">
        <v>2100</v>
      </c>
      <c r="AC263">
        <v>1995</v>
      </c>
      <c r="AD263">
        <v>25.2</v>
      </c>
      <c r="AE263">
        <v>239.39999999999998</v>
      </c>
      <c r="AF263">
        <v>239</v>
      </c>
      <c r="AG263">
        <v>910</v>
      </c>
      <c r="AH263">
        <v>606.59999999999991</v>
      </c>
      <c r="AI263" s="5">
        <v>0.30406015037593997</v>
      </c>
    </row>
    <row r="264" spans="14:35" x14ac:dyDescent="0.25">
      <c r="N264" t="s">
        <v>282</v>
      </c>
      <c r="O264" s="1">
        <v>46145.291666666664</v>
      </c>
      <c r="P264" t="s">
        <v>22</v>
      </c>
      <c r="Q264" t="s">
        <v>277</v>
      </c>
      <c r="R264" t="s">
        <v>29</v>
      </c>
      <c r="S264">
        <v>187</v>
      </c>
      <c r="T264" t="s">
        <v>25</v>
      </c>
      <c r="U264">
        <v>150</v>
      </c>
      <c r="V264">
        <v>65</v>
      </c>
      <c r="W264">
        <v>1.8</v>
      </c>
      <c r="X264" t="s">
        <v>278</v>
      </c>
      <c r="Y264">
        <v>8</v>
      </c>
      <c r="Z264">
        <v>0.12</v>
      </c>
      <c r="AA264">
        <v>0.1</v>
      </c>
      <c r="AB264">
        <v>28050</v>
      </c>
      <c r="AC264">
        <v>25245</v>
      </c>
      <c r="AD264">
        <v>336.6</v>
      </c>
      <c r="AE264">
        <v>3029.4</v>
      </c>
      <c r="AF264">
        <v>3029</v>
      </c>
      <c r="AG264">
        <v>12155</v>
      </c>
      <c r="AH264">
        <v>7031.5999999999985</v>
      </c>
      <c r="AI264" s="5">
        <v>0.278534363240246</v>
      </c>
    </row>
    <row r="265" spans="14:35" x14ac:dyDescent="0.25">
      <c r="N265" t="s">
        <v>283</v>
      </c>
      <c r="O265" s="1">
        <v>46145.333333333336</v>
      </c>
      <c r="P265" t="s">
        <v>22</v>
      </c>
      <c r="Q265" t="s">
        <v>277</v>
      </c>
      <c r="R265" t="s">
        <v>32</v>
      </c>
      <c r="S265">
        <v>55</v>
      </c>
      <c r="T265" t="s">
        <v>25</v>
      </c>
      <c r="U265">
        <v>150</v>
      </c>
      <c r="V265">
        <v>65</v>
      </c>
      <c r="W265">
        <v>1.8</v>
      </c>
      <c r="X265" t="s">
        <v>278</v>
      </c>
      <c r="Y265">
        <v>8</v>
      </c>
      <c r="Z265">
        <v>0.12</v>
      </c>
      <c r="AA265">
        <v>0.05</v>
      </c>
      <c r="AB265">
        <v>8250</v>
      </c>
      <c r="AC265">
        <v>7838</v>
      </c>
      <c r="AD265">
        <v>99</v>
      </c>
      <c r="AE265">
        <v>940.56</v>
      </c>
      <c r="AF265">
        <v>941</v>
      </c>
      <c r="AG265">
        <v>3575</v>
      </c>
      <c r="AH265">
        <v>2381.4400000000005</v>
      </c>
      <c r="AI265" s="5">
        <v>0.30383261035978598</v>
      </c>
    </row>
    <row r="266" spans="14:35" x14ac:dyDescent="0.25">
      <c r="N266" t="s">
        <v>284</v>
      </c>
      <c r="O266" s="1">
        <v>46145.458333333336</v>
      </c>
      <c r="P266" t="s">
        <v>22</v>
      </c>
      <c r="Q266" t="s">
        <v>277</v>
      </c>
      <c r="R266" t="s">
        <v>32</v>
      </c>
      <c r="S266">
        <v>117</v>
      </c>
      <c r="T266" t="s">
        <v>25</v>
      </c>
      <c r="U266">
        <v>150</v>
      </c>
      <c r="V266">
        <v>65</v>
      </c>
      <c r="W266">
        <v>1.8</v>
      </c>
      <c r="X266" t="s">
        <v>278</v>
      </c>
      <c r="Y266">
        <v>8</v>
      </c>
      <c r="Z266">
        <v>0.12</v>
      </c>
      <c r="AA266">
        <v>0.05</v>
      </c>
      <c r="AB266">
        <v>17550</v>
      </c>
      <c r="AC266">
        <v>16672</v>
      </c>
      <c r="AD266">
        <v>210.6</v>
      </c>
      <c r="AE266">
        <v>2000.6399999999999</v>
      </c>
      <c r="AF266">
        <v>2001</v>
      </c>
      <c r="AG266">
        <v>7605</v>
      </c>
      <c r="AH266">
        <v>5065.3600000000006</v>
      </c>
      <c r="AI266" s="5">
        <v>0.303824376199616</v>
      </c>
    </row>
    <row r="267" spans="14:35" x14ac:dyDescent="0.25">
      <c r="N267" t="s">
        <v>285</v>
      </c>
      <c r="O267" s="1">
        <v>46145.958333333336</v>
      </c>
      <c r="P267" t="s">
        <v>22</v>
      </c>
      <c r="Q267" t="s">
        <v>277</v>
      </c>
      <c r="R267" t="s">
        <v>29</v>
      </c>
      <c r="S267">
        <v>34</v>
      </c>
      <c r="T267" t="s">
        <v>25</v>
      </c>
      <c r="U267">
        <v>150</v>
      </c>
      <c r="V267">
        <v>65</v>
      </c>
      <c r="W267">
        <v>1.8</v>
      </c>
      <c r="X267" t="s">
        <v>278</v>
      </c>
      <c r="Y267">
        <v>8</v>
      </c>
      <c r="Z267">
        <v>0.12</v>
      </c>
      <c r="AA267">
        <v>0.1</v>
      </c>
      <c r="AB267">
        <v>5100</v>
      </c>
      <c r="AC267">
        <v>4590</v>
      </c>
      <c r="AD267">
        <v>61.2</v>
      </c>
      <c r="AE267">
        <v>550.79999999999995</v>
      </c>
      <c r="AF267">
        <v>551</v>
      </c>
      <c r="AG267">
        <v>2210</v>
      </c>
      <c r="AH267">
        <v>1278.1999999999998</v>
      </c>
      <c r="AI267" s="5">
        <v>0.278474945533769</v>
      </c>
    </row>
    <row r="268" spans="14:35" x14ac:dyDescent="0.25">
      <c r="N268" t="s">
        <v>286</v>
      </c>
      <c r="O268" s="1">
        <v>46146.875</v>
      </c>
      <c r="P268" t="s">
        <v>22</v>
      </c>
      <c r="Q268" t="s">
        <v>277</v>
      </c>
      <c r="R268" t="s">
        <v>29</v>
      </c>
      <c r="S268">
        <v>114</v>
      </c>
      <c r="T268" t="s">
        <v>25</v>
      </c>
      <c r="U268">
        <v>150</v>
      </c>
      <c r="V268">
        <v>65</v>
      </c>
      <c r="W268">
        <v>1.8</v>
      </c>
      <c r="X268" t="s">
        <v>278</v>
      </c>
      <c r="Y268">
        <v>8</v>
      </c>
      <c r="Z268">
        <v>0.12</v>
      </c>
      <c r="AA268">
        <v>0.1</v>
      </c>
      <c r="AB268">
        <v>17100</v>
      </c>
      <c r="AC268">
        <v>15390</v>
      </c>
      <c r="AD268">
        <v>205.20000000000002</v>
      </c>
      <c r="AE268">
        <v>1846.8</v>
      </c>
      <c r="AF268">
        <v>1847</v>
      </c>
      <c r="AG268">
        <v>7410</v>
      </c>
      <c r="AH268">
        <v>4286.2000000000007</v>
      </c>
      <c r="AI268" s="5">
        <v>0.278505523066927</v>
      </c>
    </row>
    <row r="269" spans="14:35" x14ac:dyDescent="0.25">
      <c r="N269" t="s">
        <v>287</v>
      </c>
      <c r="O269" s="1">
        <v>46147.333333333336</v>
      </c>
      <c r="P269" t="s">
        <v>22</v>
      </c>
      <c r="Q269" t="s">
        <v>277</v>
      </c>
      <c r="R269" t="s">
        <v>24</v>
      </c>
      <c r="S269">
        <v>120</v>
      </c>
      <c r="T269" t="s">
        <v>25</v>
      </c>
      <c r="U269">
        <v>150</v>
      </c>
      <c r="V269">
        <v>65</v>
      </c>
      <c r="W269">
        <v>1.8</v>
      </c>
      <c r="X269" t="s">
        <v>278</v>
      </c>
      <c r="Y269">
        <v>8</v>
      </c>
      <c r="Z269">
        <v>0.12</v>
      </c>
      <c r="AA269">
        <v>0.02</v>
      </c>
      <c r="AB269">
        <v>18000</v>
      </c>
      <c r="AC269">
        <v>17640</v>
      </c>
      <c r="AD269">
        <v>216</v>
      </c>
      <c r="AE269">
        <v>2116.7999999999997</v>
      </c>
      <c r="AF269">
        <v>2117</v>
      </c>
      <c r="AG269">
        <v>7800</v>
      </c>
      <c r="AH269">
        <v>5606.2000000000007</v>
      </c>
      <c r="AI269" s="5">
        <v>0.31781179138322002</v>
      </c>
    </row>
    <row r="270" spans="14:35" x14ac:dyDescent="0.25">
      <c r="N270" t="s">
        <v>288</v>
      </c>
      <c r="O270" s="1">
        <v>46147.791666666664</v>
      </c>
      <c r="P270" t="s">
        <v>22</v>
      </c>
      <c r="Q270" t="s">
        <v>277</v>
      </c>
      <c r="R270" t="s">
        <v>32</v>
      </c>
      <c r="S270">
        <v>114</v>
      </c>
      <c r="T270" t="s">
        <v>25</v>
      </c>
      <c r="U270">
        <v>150</v>
      </c>
      <c r="V270">
        <v>65</v>
      </c>
      <c r="W270">
        <v>1.8</v>
      </c>
      <c r="X270" t="s">
        <v>278</v>
      </c>
      <c r="Y270">
        <v>8</v>
      </c>
      <c r="Z270">
        <v>0.12</v>
      </c>
      <c r="AA270">
        <v>0.05</v>
      </c>
      <c r="AB270">
        <v>17100</v>
      </c>
      <c r="AC270">
        <v>16245</v>
      </c>
      <c r="AD270">
        <v>205.20000000000002</v>
      </c>
      <c r="AE270">
        <v>1949.3999999999999</v>
      </c>
      <c r="AF270">
        <v>1949</v>
      </c>
      <c r="AG270">
        <v>7410</v>
      </c>
      <c r="AH270">
        <v>4936.6000000000004</v>
      </c>
      <c r="AI270" s="5">
        <v>0.30388427208371799</v>
      </c>
    </row>
    <row r="271" spans="14:35" x14ac:dyDescent="0.25">
      <c r="N271" t="s">
        <v>289</v>
      </c>
      <c r="O271" s="1">
        <v>46147.875</v>
      </c>
      <c r="P271" t="s">
        <v>22</v>
      </c>
      <c r="Q271" t="s">
        <v>277</v>
      </c>
      <c r="R271" t="s">
        <v>24</v>
      </c>
      <c r="S271">
        <v>76</v>
      </c>
      <c r="T271" t="s">
        <v>25</v>
      </c>
      <c r="U271">
        <v>150</v>
      </c>
      <c r="V271">
        <v>65</v>
      </c>
      <c r="W271">
        <v>1.8</v>
      </c>
      <c r="X271" t="s">
        <v>278</v>
      </c>
      <c r="Y271">
        <v>8</v>
      </c>
      <c r="Z271">
        <v>0.12</v>
      </c>
      <c r="AA271">
        <v>0.02</v>
      </c>
      <c r="AB271">
        <v>11400</v>
      </c>
      <c r="AC271">
        <v>11172</v>
      </c>
      <c r="AD271">
        <v>136.80000000000001</v>
      </c>
      <c r="AE271">
        <v>1340.6399999999999</v>
      </c>
      <c r="AF271">
        <v>1341</v>
      </c>
      <c r="AG271">
        <v>4940</v>
      </c>
      <c r="AH271">
        <v>3550.3600000000006</v>
      </c>
      <c r="AI271" s="5">
        <v>0.31779090583601899</v>
      </c>
    </row>
    <row r="272" spans="14:35" x14ac:dyDescent="0.25">
      <c r="N272" t="s">
        <v>290</v>
      </c>
      <c r="O272" s="1">
        <v>46148.583333333336</v>
      </c>
      <c r="P272" t="s">
        <v>22</v>
      </c>
      <c r="Q272" t="s">
        <v>277</v>
      </c>
      <c r="R272" t="s">
        <v>29</v>
      </c>
      <c r="S272">
        <v>117</v>
      </c>
      <c r="T272" t="s">
        <v>25</v>
      </c>
      <c r="U272">
        <v>150</v>
      </c>
      <c r="V272">
        <v>65</v>
      </c>
      <c r="W272">
        <v>1.8</v>
      </c>
      <c r="X272" t="s">
        <v>278</v>
      </c>
      <c r="Y272">
        <v>8</v>
      </c>
      <c r="Z272">
        <v>0.12</v>
      </c>
      <c r="AA272">
        <v>0.1</v>
      </c>
      <c r="AB272">
        <v>17550</v>
      </c>
      <c r="AC272">
        <v>15795</v>
      </c>
      <c r="AD272">
        <v>210.6</v>
      </c>
      <c r="AE272">
        <v>1895.3999999999999</v>
      </c>
      <c r="AF272">
        <v>1895</v>
      </c>
      <c r="AG272">
        <v>7605</v>
      </c>
      <c r="AH272">
        <v>4399.6000000000004</v>
      </c>
      <c r="AI272" s="5">
        <v>0.27854384298828699</v>
      </c>
    </row>
    <row r="273" spans="14:35" x14ac:dyDescent="0.25">
      <c r="N273" t="s">
        <v>291</v>
      </c>
      <c r="O273" s="1">
        <v>46149.333333333336</v>
      </c>
      <c r="P273" t="s">
        <v>22</v>
      </c>
      <c r="Q273" t="s">
        <v>277</v>
      </c>
      <c r="R273" t="s">
        <v>24</v>
      </c>
      <c r="S273">
        <v>166</v>
      </c>
      <c r="T273" t="s">
        <v>25</v>
      </c>
      <c r="U273">
        <v>150</v>
      </c>
      <c r="V273">
        <v>65</v>
      </c>
      <c r="W273">
        <v>1.8</v>
      </c>
      <c r="X273" t="s">
        <v>278</v>
      </c>
      <c r="Y273">
        <v>8</v>
      </c>
      <c r="Z273">
        <v>0.12</v>
      </c>
      <c r="AA273">
        <v>0.02</v>
      </c>
      <c r="AB273">
        <v>24900</v>
      </c>
      <c r="AC273">
        <v>24402</v>
      </c>
      <c r="AD273">
        <v>298.8</v>
      </c>
      <c r="AE273">
        <v>2928.24</v>
      </c>
      <c r="AF273">
        <v>2928</v>
      </c>
      <c r="AG273">
        <v>10790</v>
      </c>
      <c r="AH273">
        <v>7755.760000000002</v>
      </c>
      <c r="AI273" s="5">
        <v>0.31783296451110599</v>
      </c>
    </row>
    <row r="274" spans="14:35" x14ac:dyDescent="0.25">
      <c r="N274" t="s">
        <v>292</v>
      </c>
      <c r="O274" s="1">
        <v>46149.916666666664</v>
      </c>
      <c r="P274" t="s">
        <v>22</v>
      </c>
      <c r="Q274" t="s">
        <v>277</v>
      </c>
      <c r="R274" t="s">
        <v>29</v>
      </c>
      <c r="S274">
        <v>114</v>
      </c>
      <c r="T274" t="s">
        <v>25</v>
      </c>
      <c r="U274">
        <v>150</v>
      </c>
      <c r="V274">
        <v>65</v>
      </c>
      <c r="W274">
        <v>1.8</v>
      </c>
      <c r="X274" t="s">
        <v>278</v>
      </c>
      <c r="Y274">
        <v>8</v>
      </c>
      <c r="Z274">
        <v>0.12</v>
      </c>
      <c r="AA274">
        <v>0.1</v>
      </c>
      <c r="AB274">
        <v>17100</v>
      </c>
      <c r="AC274">
        <v>15390</v>
      </c>
      <c r="AD274">
        <v>205.20000000000002</v>
      </c>
      <c r="AE274">
        <v>1846.8</v>
      </c>
      <c r="AF274">
        <v>1847</v>
      </c>
      <c r="AG274">
        <v>7410</v>
      </c>
      <c r="AH274">
        <v>4286.2000000000007</v>
      </c>
      <c r="AI274" s="5">
        <v>0.278505523066927</v>
      </c>
    </row>
    <row r="275" spans="14:35" x14ac:dyDescent="0.25">
      <c r="N275" t="s">
        <v>293</v>
      </c>
      <c r="O275" s="1">
        <v>46151.208333333336</v>
      </c>
      <c r="P275" t="s">
        <v>22</v>
      </c>
      <c r="Q275" t="s">
        <v>277</v>
      </c>
      <c r="R275" t="s">
        <v>24</v>
      </c>
      <c r="S275">
        <v>199</v>
      </c>
      <c r="T275" t="s">
        <v>25</v>
      </c>
      <c r="U275">
        <v>150</v>
      </c>
      <c r="V275">
        <v>65</v>
      </c>
      <c r="W275">
        <v>1.8</v>
      </c>
      <c r="X275" t="s">
        <v>278</v>
      </c>
      <c r="Y275">
        <v>8</v>
      </c>
      <c r="Z275">
        <v>0.12</v>
      </c>
      <c r="AA275">
        <v>0.02</v>
      </c>
      <c r="AB275">
        <v>29850</v>
      </c>
      <c r="AC275">
        <v>29253</v>
      </c>
      <c r="AD275">
        <v>358.2</v>
      </c>
      <c r="AE275">
        <v>3510.3599999999997</v>
      </c>
      <c r="AF275">
        <v>3510</v>
      </c>
      <c r="AG275">
        <v>12935</v>
      </c>
      <c r="AH275">
        <v>9297.64</v>
      </c>
      <c r="AI275" s="5">
        <v>0.31783543568181</v>
      </c>
    </row>
    <row r="276" spans="14:35" x14ac:dyDescent="0.25">
      <c r="N276" t="s">
        <v>294</v>
      </c>
      <c r="O276" s="1">
        <v>46151.25</v>
      </c>
      <c r="P276" t="s">
        <v>22</v>
      </c>
      <c r="Q276" t="s">
        <v>277</v>
      </c>
      <c r="R276" t="s">
        <v>32</v>
      </c>
      <c r="S276">
        <v>49</v>
      </c>
      <c r="T276" t="s">
        <v>25</v>
      </c>
      <c r="U276">
        <v>150</v>
      </c>
      <c r="V276">
        <v>65</v>
      </c>
      <c r="W276">
        <v>1.8</v>
      </c>
      <c r="X276" t="s">
        <v>278</v>
      </c>
      <c r="Y276">
        <v>8</v>
      </c>
      <c r="Z276">
        <v>0.12</v>
      </c>
      <c r="AA276">
        <v>0.05</v>
      </c>
      <c r="AB276">
        <v>7350</v>
      </c>
      <c r="AC276">
        <v>6982</v>
      </c>
      <c r="AD276">
        <v>88.2</v>
      </c>
      <c r="AE276">
        <v>837.83999999999992</v>
      </c>
      <c r="AF276">
        <v>838</v>
      </c>
      <c r="AG276">
        <v>3185</v>
      </c>
      <c r="AH276">
        <v>2121.16</v>
      </c>
      <c r="AI276" s="5">
        <v>0.30380406760240602</v>
      </c>
    </row>
    <row r="277" spans="14:35" x14ac:dyDescent="0.25">
      <c r="N277" t="s">
        <v>295</v>
      </c>
      <c r="O277" s="1">
        <v>46151.333333333336</v>
      </c>
      <c r="P277" t="s">
        <v>22</v>
      </c>
      <c r="Q277" t="s">
        <v>277</v>
      </c>
      <c r="R277" t="s">
        <v>29</v>
      </c>
      <c r="S277">
        <v>132</v>
      </c>
      <c r="T277" t="s">
        <v>25</v>
      </c>
      <c r="U277">
        <v>150</v>
      </c>
      <c r="V277">
        <v>65</v>
      </c>
      <c r="W277">
        <v>1.8</v>
      </c>
      <c r="X277" t="s">
        <v>278</v>
      </c>
      <c r="Y277">
        <v>8</v>
      </c>
      <c r="Z277">
        <v>0.12</v>
      </c>
      <c r="AA277">
        <v>0.1</v>
      </c>
      <c r="AB277">
        <v>19800</v>
      </c>
      <c r="AC277">
        <v>17820</v>
      </c>
      <c r="AD277">
        <v>237.6</v>
      </c>
      <c r="AE277">
        <v>2138.4</v>
      </c>
      <c r="AF277">
        <v>2138</v>
      </c>
      <c r="AG277">
        <v>8580</v>
      </c>
      <c r="AH277">
        <v>4963.6000000000004</v>
      </c>
      <c r="AI277" s="5">
        <v>0.278540965207632</v>
      </c>
    </row>
    <row r="278" spans="14:35" x14ac:dyDescent="0.25">
      <c r="N278" t="s">
        <v>296</v>
      </c>
      <c r="O278" s="1">
        <v>46151.708333333336</v>
      </c>
      <c r="P278" t="s">
        <v>22</v>
      </c>
      <c r="Q278" t="s">
        <v>277</v>
      </c>
      <c r="R278" t="s">
        <v>32</v>
      </c>
      <c r="S278">
        <v>178</v>
      </c>
      <c r="T278" t="s">
        <v>25</v>
      </c>
      <c r="U278">
        <v>150</v>
      </c>
      <c r="V278">
        <v>65</v>
      </c>
      <c r="W278">
        <v>1.8</v>
      </c>
      <c r="X278" t="s">
        <v>278</v>
      </c>
      <c r="Y278">
        <v>8</v>
      </c>
      <c r="Z278">
        <v>0.12</v>
      </c>
      <c r="AA278">
        <v>0.05</v>
      </c>
      <c r="AB278">
        <v>26700</v>
      </c>
      <c r="AC278">
        <v>25365</v>
      </c>
      <c r="AD278">
        <v>320.40000000000003</v>
      </c>
      <c r="AE278">
        <v>3043.7999999999997</v>
      </c>
      <c r="AF278">
        <v>3044</v>
      </c>
      <c r="AG278">
        <v>11570</v>
      </c>
      <c r="AH278">
        <v>7707.2000000000007</v>
      </c>
      <c r="AI278" s="5">
        <v>0.303851764242066</v>
      </c>
    </row>
    <row r="279" spans="14:35" x14ac:dyDescent="0.25">
      <c r="N279" t="s">
        <v>297</v>
      </c>
      <c r="O279" s="1">
        <v>46153.458333333336</v>
      </c>
      <c r="P279" t="s">
        <v>22</v>
      </c>
      <c r="Q279" t="s">
        <v>277</v>
      </c>
      <c r="R279" t="s">
        <v>24</v>
      </c>
      <c r="S279">
        <v>12</v>
      </c>
      <c r="T279" t="s">
        <v>25</v>
      </c>
      <c r="U279">
        <v>150</v>
      </c>
      <c r="V279">
        <v>65</v>
      </c>
      <c r="W279">
        <v>1.8</v>
      </c>
      <c r="X279" t="s">
        <v>278</v>
      </c>
      <c r="Y279">
        <v>8</v>
      </c>
      <c r="Z279">
        <v>0.12</v>
      </c>
      <c r="AA279">
        <v>0.02</v>
      </c>
      <c r="AB279">
        <v>1800</v>
      </c>
      <c r="AC279">
        <v>1764</v>
      </c>
      <c r="AD279">
        <v>21.6</v>
      </c>
      <c r="AE279">
        <v>211.67999999999998</v>
      </c>
      <c r="AF279">
        <v>212</v>
      </c>
      <c r="AG279">
        <v>780</v>
      </c>
      <c r="AH279">
        <v>560.32000000000016</v>
      </c>
      <c r="AI279" s="5">
        <v>0.31764172335600899</v>
      </c>
    </row>
    <row r="280" spans="14:35" x14ac:dyDescent="0.25">
      <c r="N280" t="s">
        <v>298</v>
      </c>
      <c r="O280" s="1">
        <v>46153.541666666664</v>
      </c>
      <c r="P280" t="s">
        <v>22</v>
      </c>
      <c r="Q280" t="s">
        <v>277</v>
      </c>
      <c r="R280" t="s">
        <v>29</v>
      </c>
      <c r="S280">
        <v>178</v>
      </c>
      <c r="T280" t="s">
        <v>25</v>
      </c>
      <c r="U280">
        <v>150</v>
      </c>
      <c r="V280">
        <v>65</v>
      </c>
      <c r="W280">
        <v>1.8</v>
      </c>
      <c r="X280" t="s">
        <v>278</v>
      </c>
      <c r="Y280">
        <v>8</v>
      </c>
      <c r="Z280">
        <v>0.12</v>
      </c>
      <c r="AA280">
        <v>0.1</v>
      </c>
      <c r="AB280">
        <v>26700</v>
      </c>
      <c r="AC280">
        <v>24030</v>
      </c>
      <c r="AD280">
        <v>320.40000000000003</v>
      </c>
      <c r="AE280">
        <v>2883.6</v>
      </c>
      <c r="AF280">
        <v>2884</v>
      </c>
      <c r="AG280">
        <v>11570</v>
      </c>
      <c r="AH280">
        <v>6692.4000000000015</v>
      </c>
      <c r="AI280" s="5">
        <v>0.27850187265917598</v>
      </c>
    </row>
    <row r="281" spans="14:35" x14ac:dyDescent="0.25">
      <c r="N281" t="s">
        <v>299</v>
      </c>
      <c r="O281" s="1">
        <v>46154.458333333336</v>
      </c>
      <c r="P281" t="s">
        <v>22</v>
      </c>
      <c r="Q281" t="s">
        <v>277</v>
      </c>
      <c r="R281" t="s">
        <v>24</v>
      </c>
      <c r="S281">
        <v>140</v>
      </c>
      <c r="T281" t="s">
        <v>25</v>
      </c>
      <c r="U281">
        <v>150</v>
      </c>
      <c r="V281">
        <v>65</v>
      </c>
      <c r="W281">
        <v>1.8</v>
      </c>
      <c r="X281" t="s">
        <v>278</v>
      </c>
      <c r="Y281">
        <v>8</v>
      </c>
      <c r="Z281">
        <v>0.12</v>
      </c>
      <c r="AA281">
        <v>0.02</v>
      </c>
      <c r="AB281">
        <v>21000</v>
      </c>
      <c r="AC281">
        <v>20580</v>
      </c>
      <c r="AD281">
        <v>252</v>
      </c>
      <c r="AE281">
        <v>2469.6</v>
      </c>
      <c r="AF281">
        <v>2470</v>
      </c>
      <c r="AG281">
        <v>9100</v>
      </c>
      <c r="AH281">
        <v>6540.4</v>
      </c>
      <c r="AI281" s="5">
        <v>0.31780369290573401</v>
      </c>
    </row>
    <row r="282" spans="14:35" x14ac:dyDescent="0.25">
      <c r="N282" t="s">
        <v>300</v>
      </c>
      <c r="O282" s="1">
        <v>46154.708333333336</v>
      </c>
      <c r="P282" t="s">
        <v>22</v>
      </c>
      <c r="Q282" t="s">
        <v>277</v>
      </c>
      <c r="R282" t="s">
        <v>24</v>
      </c>
      <c r="S282">
        <v>47</v>
      </c>
      <c r="T282" t="s">
        <v>25</v>
      </c>
      <c r="U282">
        <v>150</v>
      </c>
      <c r="V282">
        <v>65</v>
      </c>
      <c r="W282">
        <v>1.8</v>
      </c>
      <c r="X282" t="s">
        <v>278</v>
      </c>
      <c r="Y282">
        <v>8</v>
      </c>
      <c r="Z282">
        <v>0.12</v>
      </c>
      <c r="AA282">
        <v>0.02</v>
      </c>
      <c r="AB282">
        <v>7050</v>
      </c>
      <c r="AC282">
        <v>6909</v>
      </c>
      <c r="AD282">
        <v>84.600000000000009</v>
      </c>
      <c r="AE282">
        <v>829.07999999999993</v>
      </c>
      <c r="AF282">
        <v>829</v>
      </c>
      <c r="AG282">
        <v>3055</v>
      </c>
      <c r="AH282">
        <v>2195.92</v>
      </c>
      <c r="AI282" s="5">
        <v>0.31783470835142602</v>
      </c>
    </row>
    <row r="283" spans="14:35" x14ac:dyDescent="0.25">
      <c r="N283" t="s">
        <v>301</v>
      </c>
      <c r="O283" s="1">
        <v>46155.291666666664</v>
      </c>
      <c r="P283" t="s">
        <v>22</v>
      </c>
      <c r="Q283" t="s">
        <v>277</v>
      </c>
      <c r="R283" t="s">
        <v>29</v>
      </c>
      <c r="S283">
        <v>102</v>
      </c>
      <c r="T283" t="s">
        <v>25</v>
      </c>
      <c r="U283">
        <v>150</v>
      </c>
      <c r="V283">
        <v>65</v>
      </c>
      <c r="W283">
        <v>1.8</v>
      </c>
      <c r="X283" t="s">
        <v>278</v>
      </c>
      <c r="Y283">
        <v>8</v>
      </c>
      <c r="Z283">
        <v>0.12</v>
      </c>
      <c r="AA283">
        <v>0.1</v>
      </c>
      <c r="AB283">
        <v>15300</v>
      </c>
      <c r="AC283">
        <v>13770</v>
      </c>
      <c r="AD283">
        <v>183.6</v>
      </c>
      <c r="AE283">
        <v>1652.3999999999999</v>
      </c>
      <c r="AF283">
        <v>1652</v>
      </c>
      <c r="AG283">
        <v>6630</v>
      </c>
      <c r="AH283">
        <v>3835.6000000000004</v>
      </c>
      <c r="AI283" s="5">
        <v>0.278547567175018</v>
      </c>
    </row>
    <row r="284" spans="14:35" x14ac:dyDescent="0.25">
      <c r="N284" t="s">
        <v>302</v>
      </c>
      <c r="O284" s="1">
        <v>46155.333333333336</v>
      </c>
      <c r="P284" t="s">
        <v>22</v>
      </c>
      <c r="Q284" t="s">
        <v>277</v>
      </c>
      <c r="R284" t="s">
        <v>29</v>
      </c>
      <c r="S284">
        <v>197</v>
      </c>
      <c r="T284" t="s">
        <v>25</v>
      </c>
      <c r="U284">
        <v>150</v>
      </c>
      <c r="V284">
        <v>65</v>
      </c>
      <c r="W284">
        <v>1.8</v>
      </c>
      <c r="X284" t="s">
        <v>278</v>
      </c>
      <c r="Y284">
        <v>8</v>
      </c>
      <c r="Z284">
        <v>0.12</v>
      </c>
      <c r="AA284">
        <v>0.1</v>
      </c>
      <c r="AB284">
        <v>29550</v>
      </c>
      <c r="AC284">
        <v>26595</v>
      </c>
      <c r="AD284">
        <v>354.6</v>
      </c>
      <c r="AE284">
        <v>3191.4</v>
      </c>
      <c r="AF284">
        <v>3191</v>
      </c>
      <c r="AG284">
        <v>12805</v>
      </c>
      <c r="AH284">
        <v>7407.5999999999985</v>
      </c>
      <c r="AI284" s="5">
        <v>0.27853355893964998</v>
      </c>
    </row>
    <row r="285" spans="14:35" x14ac:dyDescent="0.25">
      <c r="N285" t="s">
        <v>303</v>
      </c>
      <c r="O285" s="1">
        <v>46155.708333333336</v>
      </c>
      <c r="P285" t="s">
        <v>22</v>
      </c>
      <c r="Q285" t="s">
        <v>277</v>
      </c>
      <c r="R285" t="s">
        <v>29</v>
      </c>
      <c r="S285">
        <v>64</v>
      </c>
      <c r="T285" t="s">
        <v>25</v>
      </c>
      <c r="U285">
        <v>150</v>
      </c>
      <c r="V285">
        <v>65</v>
      </c>
      <c r="W285">
        <v>1.8</v>
      </c>
      <c r="X285" t="s">
        <v>278</v>
      </c>
      <c r="Y285">
        <v>8</v>
      </c>
      <c r="Z285">
        <v>0.12</v>
      </c>
      <c r="AA285">
        <v>0.1</v>
      </c>
      <c r="AB285">
        <v>9600</v>
      </c>
      <c r="AC285">
        <v>8640</v>
      </c>
      <c r="AD285">
        <v>115.2</v>
      </c>
      <c r="AE285">
        <v>1036.8</v>
      </c>
      <c r="AF285">
        <v>1037</v>
      </c>
      <c r="AG285">
        <v>4160</v>
      </c>
      <c r="AH285">
        <v>2406.1999999999998</v>
      </c>
      <c r="AI285" s="5">
        <v>0.27849537037036998</v>
      </c>
    </row>
    <row r="286" spans="14:35" x14ac:dyDescent="0.25">
      <c r="N286" t="s">
        <v>304</v>
      </c>
      <c r="O286" s="1">
        <v>46156.208333333336</v>
      </c>
      <c r="P286" t="s">
        <v>22</v>
      </c>
      <c r="Q286" t="s">
        <v>277</v>
      </c>
      <c r="R286" t="s">
        <v>24</v>
      </c>
      <c r="S286">
        <v>30</v>
      </c>
      <c r="T286" t="s">
        <v>25</v>
      </c>
      <c r="U286">
        <v>150</v>
      </c>
      <c r="V286">
        <v>65</v>
      </c>
      <c r="W286">
        <v>1.8</v>
      </c>
      <c r="X286" t="s">
        <v>278</v>
      </c>
      <c r="Y286">
        <v>8</v>
      </c>
      <c r="Z286">
        <v>0.12</v>
      </c>
      <c r="AA286">
        <v>0.02</v>
      </c>
      <c r="AB286">
        <v>4500</v>
      </c>
      <c r="AC286">
        <v>4410</v>
      </c>
      <c r="AD286">
        <v>54</v>
      </c>
      <c r="AE286">
        <v>529.19999999999993</v>
      </c>
      <c r="AF286">
        <v>529</v>
      </c>
      <c r="AG286">
        <v>1950</v>
      </c>
      <c r="AH286">
        <v>1401.8000000000002</v>
      </c>
      <c r="AI286" s="5">
        <v>0.31786848072562401</v>
      </c>
    </row>
    <row r="287" spans="14:35" x14ac:dyDescent="0.25">
      <c r="N287" t="s">
        <v>305</v>
      </c>
      <c r="O287" s="1">
        <v>46156.583333333336</v>
      </c>
      <c r="P287" t="s">
        <v>22</v>
      </c>
      <c r="Q287" t="s">
        <v>277</v>
      </c>
      <c r="R287" t="s">
        <v>32</v>
      </c>
      <c r="S287">
        <v>26</v>
      </c>
      <c r="T287" t="s">
        <v>25</v>
      </c>
      <c r="U287">
        <v>150</v>
      </c>
      <c r="V287">
        <v>65</v>
      </c>
      <c r="W287">
        <v>1.8</v>
      </c>
      <c r="X287" t="s">
        <v>278</v>
      </c>
      <c r="Y287">
        <v>8</v>
      </c>
      <c r="Z287">
        <v>0.12</v>
      </c>
      <c r="AA287">
        <v>0.05</v>
      </c>
      <c r="AB287">
        <v>3900</v>
      </c>
      <c r="AC287">
        <v>3705</v>
      </c>
      <c r="AD287">
        <v>46.800000000000004</v>
      </c>
      <c r="AE287">
        <v>444.59999999999997</v>
      </c>
      <c r="AF287">
        <v>445</v>
      </c>
      <c r="AG287">
        <v>1690</v>
      </c>
      <c r="AH287">
        <v>1125.4000000000001</v>
      </c>
      <c r="AI287" s="5">
        <v>0.30375168690958199</v>
      </c>
    </row>
    <row r="288" spans="14:35" x14ac:dyDescent="0.25">
      <c r="N288" t="s">
        <v>306</v>
      </c>
      <c r="O288" s="1">
        <v>46156.875</v>
      </c>
      <c r="P288" t="s">
        <v>22</v>
      </c>
      <c r="Q288" t="s">
        <v>277</v>
      </c>
      <c r="R288" t="s">
        <v>29</v>
      </c>
      <c r="S288">
        <v>81</v>
      </c>
      <c r="T288" t="s">
        <v>25</v>
      </c>
      <c r="U288">
        <v>150</v>
      </c>
      <c r="V288">
        <v>65</v>
      </c>
      <c r="W288">
        <v>1.8</v>
      </c>
      <c r="X288" t="s">
        <v>278</v>
      </c>
      <c r="Y288">
        <v>8</v>
      </c>
      <c r="Z288">
        <v>0.12</v>
      </c>
      <c r="AA288">
        <v>0.1</v>
      </c>
      <c r="AB288">
        <v>12150</v>
      </c>
      <c r="AC288">
        <v>10935</v>
      </c>
      <c r="AD288">
        <v>145.80000000000001</v>
      </c>
      <c r="AE288">
        <v>1312.2</v>
      </c>
      <c r="AF288">
        <v>1312</v>
      </c>
      <c r="AG288">
        <v>5265</v>
      </c>
      <c r="AH288">
        <v>3045.8</v>
      </c>
      <c r="AI288" s="5">
        <v>0.27853680841335199</v>
      </c>
    </row>
    <row r="289" spans="14:35" x14ac:dyDescent="0.25">
      <c r="N289" t="s">
        <v>307</v>
      </c>
      <c r="O289" s="1">
        <v>46156.916666666664</v>
      </c>
      <c r="P289" t="s">
        <v>22</v>
      </c>
      <c r="Q289" t="s">
        <v>277</v>
      </c>
      <c r="R289" t="s">
        <v>29</v>
      </c>
      <c r="S289">
        <v>24</v>
      </c>
      <c r="T289" t="s">
        <v>25</v>
      </c>
      <c r="U289">
        <v>150</v>
      </c>
      <c r="V289">
        <v>65</v>
      </c>
      <c r="W289">
        <v>1.8</v>
      </c>
      <c r="X289" t="s">
        <v>278</v>
      </c>
      <c r="Y289">
        <v>8</v>
      </c>
      <c r="Z289">
        <v>0.12</v>
      </c>
      <c r="AA289">
        <v>0.1</v>
      </c>
      <c r="AB289">
        <v>3600</v>
      </c>
      <c r="AC289">
        <v>3240</v>
      </c>
      <c r="AD289">
        <v>43.2</v>
      </c>
      <c r="AE289">
        <v>388.8</v>
      </c>
      <c r="AF289">
        <v>389</v>
      </c>
      <c r="AG289">
        <v>1560</v>
      </c>
      <c r="AH289">
        <v>902.19999999999982</v>
      </c>
      <c r="AI289" s="5">
        <v>0.27845679012345698</v>
      </c>
    </row>
    <row r="290" spans="14:35" x14ac:dyDescent="0.25">
      <c r="N290" t="s">
        <v>308</v>
      </c>
      <c r="O290" s="1">
        <v>46157.208333333336</v>
      </c>
      <c r="P290" t="s">
        <v>22</v>
      </c>
      <c r="Q290" t="s">
        <v>277</v>
      </c>
      <c r="R290" t="s">
        <v>24</v>
      </c>
      <c r="S290">
        <v>44</v>
      </c>
      <c r="T290" t="s">
        <v>25</v>
      </c>
      <c r="U290">
        <v>150</v>
      </c>
      <c r="V290">
        <v>65</v>
      </c>
      <c r="W290">
        <v>1.8</v>
      </c>
      <c r="X290" t="s">
        <v>278</v>
      </c>
      <c r="Y290">
        <v>8</v>
      </c>
      <c r="Z290">
        <v>0.12</v>
      </c>
      <c r="AA290">
        <v>0.02</v>
      </c>
      <c r="AB290">
        <v>6600</v>
      </c>
      <c r="AC290">
        <v>6468</v>
      </c>
      <c r="AD290">
        <v>79.2</v>
      </c>
      <c r="AE290">
        <v>776.16</v>
      </c>
      <c r="AF290">
        <v>776</v>
      </c>
      <c r="AG290">
        <v>2860</v>
      </c>
      <c r="AH290">
        <v>2055.84</v>
      </c>
      <c r="AI290" s="5">
        <v>0.31784786641929502</v>
      </c>
    </row>
    <row r="291" spans="14:35" x14ac:dyDescent="0.25">
      <c r="N291" t="s">
        <v>309</v>
      </c>
      <c r="O291" s="1">
        <v>46157.333333333336</v>
      </c>
      <c r="P291" t="s">
        <v>22</v>
      </c>
      <c r="Q291" t="s">
        <v>277</v>
      </c>
      <c r="R291" t="s">
        <v>32</v>
      </c>
      <c r="S291">
        <v>18</v>
      </c>
      <c r="T291" t="s">
        <v>25</v>
      </c>
      <c r="U291">
        <v>150</v>
      </c>
      <c r="V291">
        <v>65</v>
      </c>
      <c r="W291">
        <v>1.8</v>
      </c>
      <c r="X291" t="s">
        <v>278</v>
      </c>
      <c r="Y291">
        <v>8</v>
      </c>
      <c r="Z291">
        <v>0.12</v>
      </c>
      <c r="AA291">
        <v>0.05</v>
      </c>
      <c r="AB291">
        <v>2700</v>
      </c>
      <c r="AC291">
        <v>2565</v>
      </c>
      <c r="AD291">
        <v>32.4</v>
      </c>
      <c r="AE291">
        <v>307.8</v>
      </c>
      <c r="AF291">
        <v>308</v>
      </c>
      <c r="AG291">
        <v>1170</v>
      </c>
      <c r="AH291">
        <v>779.2</v>
      </c>
      <c r="AI291" s="5">
        <v>0.30378167641325499</v>
      </c>
    </row>
    <row r="292" spans="14:35" x14ac:dyDescent="0.25">
      <c r="N292" t="s">
        <v>310</v>
      </c>
      <c r="O292" s="1">
        <v>46157.458333333336</v>
      </c>
      <c r="P292" t="s">
        <v>22</v>
      </c>
      <c r="Q292" t="s">
        <v>277</v>
      </c>
      <c r="R292" t="s">
        <v>29</v>
      </c>
      <c r="S292">
        <v>181</v>
      </c>
      <c r="T292" t="s">
        <v>25</v>
      </c>
      <c r="U292">
        <v>150</v>
      </c>
      <c r="V292">
        <v>65</v>
      </c>
      <c r="W292">
        <v>1.8</v>
      </c>
      <c r="X292" t="s">
        <v>278</v>
      </c>
      <c r="Y292">
        <v>8</v>
      </c>
      <c r="Z292">
        <v>0.12</v>
      </c>
      <c r="AA292">
        <v>0.1</v>
      </c>
      <c r="AB292">
        <v>27150</v>
      </c>
      <c r="AC292">
        <v>24435</v>
      </c>
      <c r="AD292">
        <v>325.8</v>
      </c>
      <c r="AE292">
        <v>2932.2</v>
      </c>
      <c r="AF292">
        <v>2932</v>
      </c>
      <c r="AG292">
        <v>11765</v>
      </c>
      <c r="AH292">
        <v>6805.7999999999993</v>
      </c>
      <c r="AI292" s="5">
        <v>0.27852670349907899</v>
      </c>
    </row>
    <row r="293" spans="14:35" x14ac:dyDescent="0.25">
      <c r="N293" t="s">
        <v>311</v>
      </c>
      <c r="O293" s="1">
        <v>46157.791666666664</v>
      </c>
      <c r="P293" t="s">
        <v>22</v>
      </c>
      <c r="Q293" t="s">
        <v>277</v>
      </c>
      <c r="R293" t="s">
        <v>32</v>
      </c>
      <c r="S293">
        <v>194</v>
      </c>
      <c r="T293" t="s">
        <v>25</v>
      </c>
      <c r="U293">
        <v>150</v>
      </c>
      <c r="V293">
        <v>65</v>
      </c>
      <c r="W293">
        <v>1.8</v>
      </c>
      <c r="X293" t="s">
        <v>278</v>
      </c>
      <c r="Y293">
        <v>8</v>
      </c>
      <c r="Z293">
        <v>0.12</v>
      </c>
      <c r="AA293">
        <v>0.05</v>
      </c>
      <c r="AB293">
        <v>29100</v>
      </c>
      <c r="AC293">
        <v>27645</v>
      </c>
      <c r="AD293">
        <v>349.2</v>
      </c>
      <c r="AE293">
        <v>3317.4</v>
      </c>
      <c r="AF293">
        <v>3317</v>
      </c>
      <c r="AG293">
        <v>12610</v>
      </c>
      <c r="AH293">
        <v>8400.5999999999985</v>
      </c>
      <c r="AI293" s="5">
        <v>0.303874118285404</v>
      </c>
    </row>
    <row r="294" spans="14:35" x14ac:dyDescent="0.25">
      <c r="N294" t="s">
        <v>312</v>
      </c>
      <c r="O294" s="1">
        <v>46158.166666666664</v>
      </c>
      <c r="P294" t="s">
        <v>22</v>
      </c>
      <c r="Q294" t="s">
        <v>277</v>
      </c>
      <c r="R294" t="s">
        <v>29</v>
      </c>
      <c r="S294">
        <v>90</v>
      </c>
      <c r="T294" t="s">
        <v>25</v>
      </c>
      <c r="U294">
        <v>150</v>
      </c>
      <c r="V294">
        <v>65</v>
      </c>
      <c r="W294">
        <v>1.8</v>
      </c>
      <c r="X294" t="s">
        <v>278</v>
      </c>
      <c r="Y294">
        <v>8</v>
      </c>
      <c r="Z294">
        <v>0.12</v>
      </c>
      <c r="AA294">
        <v>0.1</v>
      </c>
      <c r="AB294">
        <v>13500</v>
      </c>
      <c r="AC294">
        <v>12150</v>
      </c>
      <c r="AD294">
        <v>162</v>
      </c>
      <c r="AE294">
        <v>1458</v>
      </c>
      <c r="AF294">
        <v>1458</v>
      </c>
      <c r="AG294">
        <v>5850</v>
      </c>
      <c r="AH294">
        <v>3384</v>
      </c>
      <c r="AI294" s="5">
        <v>0.278518518518518</v>
      </c>
    </row>
    <row r="295" spans="14:35" x14ac:dyDescent="0.25">
      <c r="N295" t="s">
        <v>313</v>
      </c>
      <c r="O295" s="1">
        <v>46158.208333333336</v>
      </c>
      <c r="P295" t="s">
        <v>22</v>
      </c>
      <c r="Q295" t="s">
        <v>277</v>
      </c>
      <c r="R295" t="s">
        <v>24</v>
      </c>
      <c r="S295">
        <v>123</v>
      </c>
      <c r="T295" t="s">
        <v>25</v>
      </c>
      <c r="U295">
        <v>150</v>
      </c>
      <c r="V295">
        <v>65</v>
      </c>
      <c r="W295">
        <v>1.8</v>
      </c>
      <c r="X295" t="s">
        <v>278</v>
      </c>
      <c r="Y295">
        <v>8</v>
      </c>
      <c r="Z295">
        <v>0.12</v>
      </c>
      <c r="AA295">
        <v>0.02</v>
      </c>
      <c r="AB295">
        <v>18450</v>
      </c>
      <c r="AC295">
        <v>18081</v>
      </c>
      <c r="AD295">
        <v>221.4</v>
      </c>
      <c r="AE295">
        <v>2169.7199999999998</v>
      </c>
      <c r="AF295">
        <v>2170</v>
      </c>
      <c r="AG295">
        <v>7995</v>
      </c>
      <c r="AH295">
        <v>5746.2800000000007</v>
      </c>
      <c r="AI295" s="5">
        <v>0.31780764338255602</v>
      </c>
    </row>
    <row r="296" spans="14:35" x14ac:dyDescent="0.25">
      <c r="N296" t="s">
        <v>314</v>
      </c>
      <c r="O296" s="1">
        <v>46158.333333333336</v>
      </c>
      <c r="P296" t="s">
        <v>22</v>
      </c>
      <c r="Q296" t="s">
        <v>277</v>
      </c>
      <c r="R296" t="s">
        <v>29</v>
      </c>
      <c r="S296">
        <v>123</v>
      </c>
      <c r="T296" t="s">
        <v>25</v>
      </c>
      <c r="U296">
        <v>150</v>
      </c>
      <c r="V296">
        <v>65</v>
      </c>
      <c r="W296">
        <v>1.8</v>
      </c>
      <c r="X296" t="s">
        <v>278</v>
      </c>
      <c r="Y296">
        <v>8</v>
      </c>
      <c r="Z296">
        <v>0.12</v>
      </c>
      <c r="AA296">
        <v>0.1</v>
      </c>
      <c r="AB296">
        <v>18450</v>
      </c>
      <c r="AC296">
        <v>16605</v>
      </c>
      <c r="AD296">
        <v>221.4</v>
      </c>
      <c r="AE296">
        <v>1992.6</v>
      </c>
      <c r="AF296">
        <v>1993</v>
      </c>
      <c r="AG296">
        <v>7995</v>
      </c>
      <c r="AH296">
        <v>4624.3999999999996</v>
      </c>
      <c r="AI296" s="5">
        <v>0.27849442938873797</v>
      </c>
    </row>
    <row r="297" spans="14:35" x14ac:dyDescent="0.25">
      <c r="N297" t="s">
        <v>315</v>
      </c>
      <c r="O297" s="1">
        <v>46158.666666666664</v>
      </c>
      <c r="P297" t="s">
        <v>22</v>
      </c>
      <c r="Q297" t="s">
        <v>277</v>
      </c>
      <c r="R297" t="s">
        <v>32</v>
      </c>
      <c r="S297">
        <v>174</v>
      </c>
      <c r="T297" t="s">
        <v>25</v>
      </c>
      <c r="U297">
        <v>150</v>
      </c>
      <c r="V297">
        <v>65</v>
      </c>
      <c r="W297">
        <v>1.8</v>
      </c>
      <c r="X297" t="s">
        <v>278</v>
      </c>
      <c r="Y297">
        <v>8</v>
      </c>
      <c r="Z297">
        <v>0.12</v>
      </c>
      <c r="AA297">
        <v>0.05</v>
      </c>
      <c r="AB297">
        <v>26100</v>
      </c>
      <c r="AC297">
        <v>24795</v>
      </c>
      <c r="AD297">
        <v>313.2</v>
      </c>
      <c r="AE297">
        <v>2975.4</v>
      </c>
      <c r="AF297">
        <v>2975</v>
      </c>
      <c r="AG297">
        <v>11310</v>
      </c>
      <c r="AH297">
        <v>7534.5999999999985</v>
      </c>
      <c r="AI297" s="5">
        <v>0.30387578140754201</v>
      </c>
    </row>
    <row r="298" spans="14:35" x14ac:dyDescent="0.25">
      <c r="N298" t="s">
        <v>316</v>
      </c>
      <c r="O298" s="1">
        <v>46159.458333333336</v>
      </c>
      <c r="P298" t="s">
        <v>22</v>
      </c>
      <c r="Q298" t="s">
        <v>277</v>
      </c>
      <c r="R298" t="s">
        <v>29</v>
      </c>
      <c r="S298">
        <v>16</v>
      </c>
      <c r="T298" t="s">
        <v>25</v>
      </c>
      <c r="U298">
        <v>150</v>
      </c>
      <c r="V298">
        <v>65</v>
      </c>
      <c r="W298">
        <v>1.8</v>
      </c>
      <c r="X298" t="s">
        <v>278</v>
      </c>
      <c r="Y298">
        <v>8</v>
      </c>
      <c r="Z298">
        <v>0.12</v>
      </c>
      <c r="AA298">
        <v>0.1</v>
      </c>
      <c r="AB298">
        <v>2400</v>
      </c>
      <c r="AC298">
        <v>2160</v>
      </c>
      <c r="AD298">
        <v>28.8</v>
      </c>
      <c r="AE298">
        <v>259.2</v>
      </c>
      <c r="AF298">
        <v>259</v>
      </c>
      <c r="AG298">
        <v>1040</v>
      </c>
      <c r="AH298">
        <v>601.79999999999995</v>
      </c>
      <c r="AI298" s="5">
        <v>0.27861111111111098</v>
      </c>
    </row>
    <row r="299" spans="14:35" x14ac:dyDescent="0.25">
      <c r="N299" t="s">
        <v>317</v>
      </c>
      <c r="O299" s="1">
        <v>46159.583333333336</v>
      </c>
      <c r="P299" t="s">
        <v>22</v>
      </c>
      <c r="Q299" t="s">
        <v>277</v>
      </c>
      <c r="R299" t="s">
        <v>24</v>
      </c>
      <c r="S299">
        <v>26</v>
      </c>
      <c r="T299" t="s">
        <v>25</v>
      </c>
      <c r="U299">
        <v>150</v>
      </c>
      <c r="V299">
        <v>65</v>
      </c>
      <c r="W299">
        <v>1.8</v>
      </c>
      <c r="X299" t="s">
        <v>278</v>
      </c>
      <c r="Y299">
        <v>8</v>
      </c>
      <c r="Z299">
        <v>0.12</v>
      </c>
      <c r="AA299">
        <v>0.02</v>
      </c>
      <c r="AB299">
        <v>3900</v>
      </c>
      <c r="AC299">
        <v>3822</v>
      </c>
      <c r="AD299">
        <v>46.800000000000004</v>
      </c>
      <c r="AE299">
        <v>458.64</v>
      </c>
      <c r="AF299">
        <v>459</v>
      </c>
      <c r="AG299">
        <v>1690</v>
      </c>
      <c r="AH299">
        <v>1214.3600000000001</v>
      </c>
      <c r="AI299" s="5">
        <v>0.31772893772893801</v>
      </c>
    </row>
    <row r="300" spans="14:35" x14ac:dyDescent="0.25">
      <c r="N300" t="s">
        <v>318</v>
      </c>
      <c r="O300" s="1">
        <v>46159.833333333336</v>
      </c>
      <c r="P300" t="s">
        <v>22</v>
      </c>
      <c r="Q300" t="s">
        <v>277</v>
      </c>
      <c r="R300" t="s">
        <v>29</v>
      </c>
      <c r="S300">
        <v>123</v>
      </c>
      <c r="T300" t="s">
        <v>25</v>
      </c>
      <c r="U300">
        <v>150</v>
      </c>
      <c r="V300">
        <v>65</v>
      </c>
      <c r="W300">
        <v>1.8</v>
      </c>
      <c r="X300" t="s">
        <v>278</v>
      </c>
      <c r="Y300">
        <v>8</v>
      </c>
      <c r="Z300">
        <v>0.12</v>
      </c>
      <c r="AA300">
        <v>0.1</v>
      </c>
      <c r="AB300">
        <v>18450</v>
      </c>
      <c r="AC300">
        <v>16605</v>
      </c>
      <c r="AD300">
        <v>221.4</v>
      </c>
      <c r="AE300">
        <v>1992.6</v>
      </c>
      <c r="AF300">
        <v>1993</v>
      </c>
      <c r="AG300">
        <v>7995</v>
      </c>
      <c r="AH300">
        <v>4624.3999999999996</v>
      </c>
      <c r="AI300" s="5">
        <v>0.27849442938873797</v>
      </c>
    </row>
    <row r="301" spans="14:35" x14ac:dyDescent="0.25">
      <c r="N301" t="s">
        <v>319</v>
      </c>
      <c r="O301" s="1">
        <v>46160.583333333336</v>
      </c>
      <c r="P301" t="s">
        <v>22</v>
      </c>
      <c r="Q301" t="s">
        <v>277</v>
      </c>
      <c r="R301" t="s">
        <v>32</v>
      </c>
      <c r="S301">
        <v>36</v>
      </c>
      <c r="T301" t="s">
        <v>25</v>
      </c>
      <c r="U301">
        <v>150</v>
      </c>
      <c r="V301">
        <v>65</v>
      </c>
      <c r="W301">
        <v>1.8</v>
      </c>
      <c r="X301" t="s">
        <v>278</v>
      </c>
      <c r="Y301">
        <v>8</v>
      </c>
      <c r="Z301">
        <v>0.12</v>
      </c>
      <c r="AA301">
        <v>0.05</v>
      </c>
      <c r="AB301">
        <v>5400</v>
      </c>
      <c r="AC301">
        <v>5130</v>
      </c>
      <c r="AD301">
        <v>64.8</v>
      </c>
      <c r="AE301">
        <v>615.6</v>
      </c>
      <c r="AF301">
        <v>616</v>
      </c>
      <c r="AG301">
        <v>2340</v>
      </c>
      <c r="AH301">
        <v>1558.4</v>
      </c>
      <c r="AI301" s="5">
        <v>0.30378167641325499</v>
      </c>
    </row>
    <row r="302" spans="14:35" x14ac:dyDescent="0.25">
      <c r="N302" t="s">
        <v>320</v>
      </c>
      <c r="O302" s="1">
        <v>46161.041666666664</v>
      </c>
      <c r="P302" t="s">
        <v>22</v>
      </c>
      <c r="Q302" t="s">
        <v>277</v>
      </c>
      <c r="R302" t="s">
        <v>29</v>
      </c>
      <c r="S302">
        <v>183</v>
      </c>
      <c r="T302" t="s">
        <v>25</v>
      </c>
      <c r="U302">
        <v>150</v>
      </c>
      <c r="V302">
        <v>65</v>
      </c>
      <c r="W302">
        <v>1.8</v>
      </c>
      <c r="X302" t="s">
        <v>278</v>
      </c>
      <c r="Y302">
        <v>8</v>
      </c>
      <c r="Z302">
        <v>0.12</v>
      </c>
      <c r="AA302">
        <v>0.1</v>
      </c>
      <c r="AB302">
        <v>27450</v>
      </c>
      <c r="AC302">
        <v>24705</v>
      </c>
      <c r="AD302">
        <v>329.40000000000003</v>
      </c>
      <c r="AE302">
        <v>2964.6</v>
      </c>
      <c r="AF302">
        <v>2965</v>
      </c>
      <c r="AG302">
        <v>11895</v>
      </c>
      <c r="AH302">
        <v>6880.4000000000015</v>
      </c>
      <c r="AI302" s="5">
        <v>0.27850232746407599</v>
      </c>
    </row>
    <row r="303" spans="14:35" x14ac:dyDescent="0.25">
      <c r="N303" t="s">
        <v>321</v>
      </c>
      <c r="O303" s="1">
        <v>46161.083333333336</v>
      </c>
      <c r="P303" t="s">
        <v>22</v>
      </c>
      <c r="Q303" t="s">
        <v>277</v>
      </c>
      <c r="R303" t="s">
        <v>29</v>
      </c>
      <c r="S303">
        <v>32</v>
      </c>
      <c r="T303" t="s">
        <v>25</v>
      </c>
      <c r="U303">
        <v>150</v>
      </c>
      <c r="V303">
        <v>65</v>
      </c>
      <c r="W303">
        <v>1.8</v>
      </c>
      <c r="X303" t="s">
        <v>278</v>
      </c>
      <c r="Y303">
        <v>8</v>
      </c>
      <c r="Z303">
        <v>0.12</v>
      </c>
      <c r="AA303">
        <v>0.1</v>
      </c>
      <c r="AB303">
        <v>4800</v>
      </c>
      <c r="AC303">
        <v>4320</v>
      </c>
      <c r="AD303">
        <v>57.6</v>
      </c>
      <c r="AE303">
        <v>518.4</v>
      </c>
      <c r="AF303">
        <v>518</v>
      </c>
      <c r="AG303">
        <v>2080</v>
      </c>
      <c r="AH303">
        <v>1203.5999999999999</v>
      </c>
      <c r="AI303" s="5">
        <v>0.27861111111111098</v>
      </c>
    </row>
    <row r="304" spans="14:35" x14ac:dyDescent="0.25">
      <c r="N304" t="s">
        <v>322</v>
      </c>
      <c r="O304" s="1">
        <v>46161.208333333336</v>
      </c>
      <c r="P304" t="s">
        <v>22</v>
      </c>
      <c r="Q304" t="s">
        <v>277</v>
      </c>
      <c r="R304" t="s">
        <v>29</v>
      </c>
      <c r="S304">
        <v>199</v>
      </c>
      <c r="T304" t="s">
        <v>25</v>
      </c>
      <c r="U304">
        <v>150</v>
      </c>
      <c r="V304">
        <v>65</v>
      </c>
      <c r="W304">
        <v>1.8</v>
      </c>
      <c r="X304" t="s">
        <v>278</v>
      </c>
      <c r="Y304">
        <v>8</v>
      </c>
      <c r="Z304">
        <v>0.12</v>
      </c>
      <c r="AA304">
        <v>0.1</v>
      </c>
      <c r="AB304">
        <v>29850</v>
      </c>
      <c r="AC304">
        <v>26865</v>
      </c>
      <c r="AD304">
        <v>358.2</v>
      </c>
      <c r="AE304">
        <v>3223.7999999999997</v>
      </c>
      <c r="AF304">
        <v>3224</v>
      </c>
      <c r="AG304">
        <v>12935</v>
      </c>
      <c r="AH304">
        <v>7482.2000000000007</v>
      </c>
      <c r="AI304" s="5">
        <v>0.27851107388795798</v>
      </c>
    </row>
    <row r="305" spans="14:35" x14ac:dyDescent="0.25">
      <c r="N305" t="s">
        <v>323</v>
      </c>
      <c r="O305" s="1">
        <v>46161.916666666664</v>
      </c>
      <c r="P305" t="s">
        <v>22</v>
      </c>
      <c r="Q305" t="s">
        <v>277</v>
      </c>
      <c r="R305" t="s">
        <v>32</v>
      </c>
      <c r="S305">
        <v>141</v>
      </c>
      <c r="T305" t="s">
        <v>25</v>
      </c>
      <c r="U305">
        <v>150</v>
      </c>
      <c r="V305">
        <v>65</v>
      </c>
      <c r="W305">
        <v>1.8</v>
      </c>
      <c r="X305" t="s">
        <v>278</v>
      </c>
      <c r="Y305">
        <v>8</v>
      </c>
      <c r="Z305">
        <v>0.12</v>
      </c>
      <c r="AA305">
        <v>0.05</v>
      </c>
      <c r="AB305">
        <v>21150</v>
      </c>
      <c r="AC305">
        <v>20092</v>
      </c>
      <c r="AD305">
        <v>253.8</v>
      </c>
      <c r="AE305">
        <v>2411.04</v>
      </c>
      <c r="AF305">
        <v>2411</v>
      </c>
      <c r="AG305">
        <v>9165</v>
      </c>
      <c r="AH305">
        <v>6104.9599999999991</v>
      </c>
      <c r="AI305" s="5">
        <v>0.303850288672108</v>
      </c>
    </row>
    <row r="306" spans="14:35" x14ac:dyDescent="0.25">
      <c r="N306" t="s">
        <v>324</v>
      </c>
      <c r="O306" s="1">
        <v>46162</v>
      </c>
      <c r="P306" t="s">
        <v>22</v>
      </c>
      <c r="Q306" t="s">
        <v>277</v>
      </c>
      <c r="R306" t="s">
        <v>24</v>
      </c>
      <c r="S306">
        <v>72</v>
      </c>
      <c r="T306" t="s">
        <v>25</v>
      </c>
      <c r="U306">
        <v>150</v>
      </c>
      <c r="V306">
        <v>65</v>
      </c>
      <c r="W306">
        <v>1.8</v>
      </c>
      <c r="X306" t="s">
        <v>278</v>
      </c>
      <c r="Y306">
        <v>8</v>
      </c>
      <c r="Z306">
        <v>0.12</v>
      </c>
      <c r="AA306">
        <v>0.02</v>
      </c>
      <c r="AB306">
        <v>10800</v>
      </c>
      <c r="AC306">
        <v>10584</v>
      </c>
      <c r="AD306">
        <v>129.6</v>
      </c>
      <c r="AE306">
        <v>1270.08</v>
      </c>
      <c r="AF306">
        <v>1270</v>
      </c>
      <c r="AG306">
        <v>4680</v>
      </c>
      <c r="AH306">
        <v>3363.92</v>
      </c>
      <c r="AI306" s="5">
        <v>0.31783068783068802</v>
      </c>
    </row>
    <row r="307" spans="14:35" x14ac:dyDescent="0.25">
      <c r="N307" t="s">
        <v>325</v>
      </c>
      <c r="O307" s="1">
        <v>46163.416666666664</v>
      </c>
      <c r="P307" t="s">
        <v>22</v>
      </c>
      <c r="Q307" t="s">
        <v>277</v>
      </c>
      <c r="R307" t="s">
        <v>29</v>
      </c>
      <c r="S307">
        <v>39</v>
      </c>
      <c r="T307" t="s">
        <v>25</v>
      </c>
      <c r="U307">
        <v>150</v>
      </c>
      <c r="V307">
        <v>65</v>
      </c>
      <c r="W307">
        <v>1.8</v>
      </c>
      <c r="X307" t="s">
        <v>278</v>
      </c>
      <c r="Y307">
        <v>8</v>
      </c>
      <c r="Z307">
        <v>0.12</v>
      </c>
      <c r="AA307">
        <v>0.1</v>
      </c>
      <c r="AB307">
        <v>5850</v>
      </c>
      <c r="AC307">
        <v>5265</v>
      </c>
      <c r="AD307">
        <v>70.2</v>
      </c>
      <c r="AE307">
        <v>631.79999999999995</v>
      </c>
      <c r="AF307">
        <v>632</v>
      </c>
      <c r="AG307">
        <v>2535</v>
      </c>
      <c r="AH307">
        <v>1466.1999999999998</v>
      </c>
      <c r="AI307" s="5">
        <v>0.27848053181386501</v>
      </c>
    </row>
    <row r="308" spans="14:35" x14ac:dyDescent="0.25">
      <c r="N308" t="s">
        <v>326</v>
      </c>
      <c r="O308" s="1">
        <v>46163.458333333336</v>
      </c>
      <c r="P308" t="s">
        <v>22</v>
      </c>
      <c r="Q308" t="s">
        <v>277</v>
      </c>
      <c r="R308" t="s">
        <v>24</v>
      </c>
      <c r="S308">
        <v>152</v>
      </c>
      <c r="T308" t="s">
        <v>25</v>
      </c>
      <c r="U308">
        <v>150</v>
      </c>
      <c r="V308">
        <v>65</v>
      </c>
      <c r="W308">
        <v>1.8</v>
      </c>
      <c r="X308" t="s">
        <v>278</v>
      </c>
      <c r="Y308">
        <v>8</v>
      </c>
      <c r="Z308">
        <v>0.12</v>
      </c>
      <c r="AA308">
        <v>0.02</v>
      </c>
      <c r="AB308">
        <v>22800</v>
      </c>
      <c r="AC308">
        <v>22344</v>
      </c>
      <c r="AD308">
        <v>273.60000000000002</v>
      </c>
      <c r="AE308">
        <v>2681.2799999999997</v>
      </c>
      <c r="AF308">
        <v>2681</v>
      </c>
      <c r="AG308">
        <v>9880</v>
      </c>
      <c r="AH308">
        <v>7101.7200000000012</v>
      </c>
      <c r="AI308" s="5">
        <v>0.31783566058002199</v>
      </c>
    </row>
    <row r="309" spans="14:35" x14ac:dyDescent="0.25">
      <c r="N309" t="s">
        <v>327</v>
      </c>
      <c r="O309" s="1">
        <v>46163.666666666664</v>
      </c>
      <c r="P309" t="s">
        <v>22</v>
      </c>
      <c r="Q309" t="s">
        <v>277</v>
      </c>
      <c r="R309" t="s">
        <v>29</v>
      </c>
      <c r="S309">
        <v>144</v>
      </c>
      <c r="T309" t="s">
        <v>25</v>
      </c>
      <c r="U309">
        <v>150</v>
      </c>
      <c r="V309">
        <v>65</v>
      </c>
      <c r="W309">
        <v>1.8</v>
      </c>
      <c r="X309" t="s">
        <v>278</v>
      </c>
      <c r="Y309">
        <v>8</v>
      </c>
      <c r="Z309">
        <v>0.12</v>
      </c>
      <c r="AA309">
        <v>0.1</v>
      </c>
      <c r="AB309">
        <v>21600</v>
      </c>
      <c r="AC309">
        <v>19440</v>
      </c>
      <c r="AD309">
        <v>259.2</v>
      </c>
      <c r="AE309">
        <v>2332.7999999999997</v>
      </c>
      <c r="AF309">
        <v>2333</v>
      </c>
      <c r="AG309">
        <v>9360</v>
      </c>
      <c r="AH309">
        <v>5414.2000000000007</v>
      </c>
      <c r="AI309" s="5">
        <v>0.27850823045267498</v>
      </c>
    </row>
    <row r="310" spans="14:35" x14ac:dyDescent="0.25">
      <c r="N310" t="s">
        <v>328</v>
      </c>
      <c r="O310" s="1">
        <v>46163.958333333336</v>
      </c>
      <c r="P310" t="s">
        <v>22</v>
      </c>
      <c r="Q310" t="s">
        <v>277</v>
      </c>
      <c r="R310" t="s">
        <v>29</v>
      </c>
      <c r="S310">
        <v>47</v>
      </c>
      <c r="T310" t="s">
        <v>25</v>
      </c>
      <c r="U310">
        <v>150</v>
      </c>
      <c r="V310">
        <v>65</v>
      </c>
      <c r="W310">
        <v>1.8</v>
      </c>
      <c r="X310" t="s">
        <v>278</v>
      </c>
      <c r="Y310">
        <v>8</v>
      </c>
      <c r="Z310">
        <v>0.12</v>
      </c>
      <c r="AA310">
        <v>0.1</v>
      </c>
      <c r="AB310">
        <v>7050</v>
      </c>
      <c r="AC310">
        <v>6345</v>
      </c>
      <c r="AD310">
        <v>84.600000000000009</v>
      </c>
      <c r="AE310">
        <v>761.4</v>
      </c>
      <c r="AF310">
        <v>761</v>
      </c>
      <c r="AG310">
        <v>3055</v>
      </c>
      <c r="AH310">
        <v>1767.6000000000004</v>
      </c>
      <c r="AI310" s="5">
        <v>0.27858156028368802</v>
      </c>
    </row>
    <row r="311" spans="14:35" x14ac:dyDescent="0.25">
      <c r="N311" t="s">
        <v>329</v>
      </c>
      <c r="O311" s="1">
        <v>46164.041666666664</v>
      </c>
      <c r="P311" t="s">
        <v>22</v>
      </c>
      <c r="Q311" t="s">
        <v>277</v>
      </c>
      <c r="R311" t="s">
        <v>29</v>
      </c>
      <c r="S311">
        <v>119</v>
      </c>
      <c r="T311" t="s">
        <v>25</v>
      </c>
      <c r="U311">
        <v>150</v>
      </c>
      <c r="V311">
        <v>65</v>
      </c>
      <c r="W311">
        <v>1.8</v>
      </c>
      <c r="X311" t="s">
        <v>278</v>
      </c>
      <c r="Y311">
        <v>8</v>
      </c>
      <c r="Z311">
        <v>0.12</v>
      </c>
      <c r="AA311">
        <v>0.1</v>
      </c>
      <c r="AB311">
        <v>17850</v>
      </c>
      <c r="AC311">
        <v>16065</v>
      </c>
      <c r="AD311">
        <v>214.20000000000002</v>
      </c>
      <c r="AE311">
        <v>1927.8</v>
      </c>
      <c r="AF311">
        <v>1928</v>
      </c>
      <c r="AG311">
        <v>7735</v>
      </c>
      <c r="AH311">
        <v>4474.2000000000007</v>
      </c>
      <c r="AI311" s="5">
        <v>0.27850606909430398</v>
      </c>
    </row>
    <row r="312" spans="14:35" x14ac:dyDescent="0.25">
      <c r="N312" t="s">
        <v>330</v>
      </c>
      <c r="O312" s="1">
        <v>46164.291666666664</v>
      </c>
      <c r="P312" t="s">
        <v>22</v>
      </c>
      <c r="Q312" t="s">
        <v>277</v>
      </c>
      <c r="R312" t="s">
        <v>32</v>
      </c>
      <c r="S312">
        <v>171</v>
      </c>
      <c r="T312" t="s">
        <v>25</v>
      </c>
      <c r="U312">
        <v>150</v>
      </c>
      <c r="V312">
        <v>65</v>
      </c>
      <c r="W312">
        <v>1.8</v>
      </c>
      <c r="X312" t="s">
        <v>278</v>
      </c>
      <c r="Y312">
        <v>8</v>
      </c>
      <c r="Z312">
        <v>0.12</v>
      </c>
      <c r="AA312">
        <v>0.05</v>
      </c>
      <c r="AB312">
        <v>25650</v>
      </c>
      <c r="AC312">
        <v>24368</v>
      </c>
      <c r="AD312">
        <v>307.8</v>
      </c>
      <c r="AE312">
        <v>2924.16</v>
      </c>
      <c r="AF312">
        <v>2924</v>
      </c>
      <c r="AG312">
        <v>11115</v>
      </c>
      <c r="AH312">
        <v>7404.84</v>
      </c>
      <c r="AI312" s="5">
        <v>0.30387557452396602</v>
      </c>
    </row>
    <row r="313" spans="14:35" x14ac:dyDescent="0.25">
      <c r="N313" t="s">
        <v>331</v>
      </c>
      <c r="O313" s="1">
        <v>46164.666666666664</v>
      </c>
      <c r="P313" t="s">
        <v>22</v>
      </c>
      <c r="Q313" t="s">
        <v>277</v>
      </c>
      <c r="R313" t="s">
        <v>32</v>
      </c>
      <c r="S313">
        <v>54</v>
      </c>
      <c r="T313" t="s">
        <v>25</v>
      </c>
      <c r="U313">
        <v>150</v>
      </c>
      <c r="V313">
        <v>65</v>
      </c>
      <c r="W313">
        <v>1.8</v>
      </c>
      <c r="X313" t="s">
        <v>278</v>
      </c>
      <c r="Y313">
        <v>8</v>
      </c>
      <c r="Z313">
        <v>0.12</v>
      </c>
      <c r="AA313">
        <v>0.05</v>
      </c>
      <c r="AB313">
        <v>8100</v>
      </c>
      <c r="AC313">
        <v>7695</v>
      </c>
      <c r="AD313">
        <v>97.2</v>
      </c>
      <c r="AE313">
        <v>923.4</v>
      </c>
      <c r="AF313">
        <v>923</v>
      </c>
      <c r="AG313">
        <v>3510</v>
      </c>
      <c r="AH313">
        <v>2338.6000000000004</v>
      </c>
      <c r="AI313" s="5">
        <v>0.303911630929175</v>
      </c>
    </row>
    <row r="314" spans="14:35" x14ac:dyDescent="0.25">
      <c r="N314" t="s">
        <v>332</v>
      </c>
      <c r="O314" s="1">
        <v>46165.458333333336</v>
      </c>
      <c r="P314" t="s">
        <v>22</v>
      </c>
      <c r="Q314" t="s">
        <v>277</v>
      </c>
      <c r="R314" t="s">
        <v>29</v>
      </c>
      <c r="S314">
        <v>125</v>
      </c>
      <c r="T314" t="s">
        <v>25</v>
      </c>
      <c r="U314">
        <v>150</v>
      </c>
      <c r="V314">
        <v>65</v>
      </c>
      <c r="W314">
        <v>1.8</v>
      </c>
      <c r="X314" t="s">
        <v>278</v>
      </c>
      <c r="Y314">
        <v>8</v>
      </c>
      <c r="Z314">
        <v>0.12</v>
      </c>
      <c r="AA314">
        <v>0.1</v>
      </c>
      <c r="AB314">
        <v>18750</v>
      </c>
      <c r="AC314">
        <v>16875</v>
      </c>
      <c r="AD314">
        <v>225</v>
      </c>
      <c r="AE314">
        <v>2025</v>
      </c>
      <c r="AF314">
        <v>2025</v>
      </c>
      <c r="AG314">
        <v>8125</v>
      </c>
      <c r="AH314">
        <v>4700</v>
      </c>
      <c r="AI314" s="5">
        <v>0.278518518518518</v>
      </c>
    </row>
    <row r="315" spans="14:35" x14ac:dyDescent="0.25">
      <c r="N315" t="s">
        <v>333</v>
      </c>
      <c r="O315" s="1">
        <v>46165.708333333336</v>
      </c>
      <c r="P315" t="s">
        <v>22</v>
      </c>
      <c r="Q315" t="s">
        <v>277</v>
      </c>
      <c r="R315" t="s">
        <v>32</v>
      </c>
      <c r="S315">
        <v>76</v>
      </c>
      <c r="T315" t="s">
        <v>25</v>
      </c>
      <c r="U315">
        <v>150</v>
      </c>
      <c r="V315">
        <v>65</v>
      </c>
      <c r="W315">
        <v>1.8</v>
      </c>
      <c r="X315" t="s">
        <v>278</v>
      </c>
      <c r="Y315">
        <v>8</v>
      </c>
      <c r="Z315">
        <v>0.12</v>
      </c>
      <c r="AA315">
        <v>0.05</v>
      </c>
      <c r="AB315">
        <v>11400</v>
      </c>
      <c r="AC315">
        <v>10830</v>
      </c>
      <c r="AD315">
        <v>136.80000000000001</v>
      </c>
      <c r="AE315">
        <v>1299.5999999999999</v>
      </c>
      <c r="AF315">
        <v>1300</v>
      </c>
      <c r="AG315">
        <v>4940</v>
      </c>
      <c r="AH315">
        <v>3290.3999999999996</v>
      </c>
      <c r="AI315" s="5">
        <v>0.30382271468144001</v>
      </c>
    </row>
    <row r="316" spans="14:35" x14ac:dyDescent="0.25">
      <c r="N316" t="s">
        <v>334</v>
      </c>
      <c r="O316" s="1">
        <v>46166.041666666664</v>
      </c>
      <c r="P316" t="s">
        <v>22</v>
      </c>
      <c r="Q316" t="s">
        <v>277</v>
      </c>
      <c r="R316" t="s">
        <v>24</v>
      </c>
      <c r="S316">
        <v>90</v>
      </c>
      <c r="T316" t="s">
        <v>25</v>
      </c>
      <c r="U316">
        <v>150</v>
      </c>
      <c r="V316">
        <v>65</v>
      </c>
      <c r="W316">
        <v>1.8</v>
      </c>
      <c r="X316" t="s">
        <v>278</v>
      </c>
      <c r="Y316">
        <v>8</v>
      </c>
      <c r="Z316">
        <v>0.12</v>
      </c>
      <c r="AA316">
        <v>0.02</v>
      </c>
      <c r="AB316">
        <v>13500</v>
      </c>
      <c r="AC316">
        <v>13230</v>
      </c>
      <c r="AD316">
        <v>162</v>
      </c>
      <c r="AE316">
        <v>1587.6</v>
      </c>
      <c r="AF316">
        <v>1588</v>
      </c>
      <c r="AG316">
        <v>5850</v>
      </c>
      <c r="AH316">
        <v>4204.3999999999996</v>
      </c>
      <c r="AI316" s="5">
        <v>0.31779289493575202</v>
      </c>
    </row>
    <row r="317" spans="14:35" x14ac:dyDescent="0.25">
      <c r="N317" t="s">
        <v>335</v>
      </c>
      <c r="O317" s="1">
        <v>46166.333333333336</v>
      </c>
      <c r="P317" t="s">
        <v>22</v>
      </c>
      <c r="Q317" t="s">
        <v>277</v>
      </c>
      <c r="R317" t="s">
        <v>32</v>
      </c>
      <c r="S317">
        <v>78</v>
      </c>
      <c r="T317" t="s">
        <v>25</v>
      </c>
      <c r="U317">
        <v>150</v>
      </c>
      <c r="V317">
        <v>65</v>
      </c>
      <c r="W317">
        <v>1.8</v>
      </c>
      <c r="X317" t="s">
        <v>278</v>
      </c>
      <c r="Y317">
        <v>8</v>
      </c>
      <c r="Z317">
        <v>0.12</v>
      </c>
      <c r="AA317">
        <v>0.05</v>
      </c>
      <c r="AB317">
        <v>11700</v>
      </c>
      <c r="AC317">
        <v>11115</v>
      </c>
      <c r="AD317">
        <v>140.4</v>
      </c>
      <c r="AE317">
        <v>1333.8</v>
      </c>
      <c r="AF317">
        <v>1334</v>
      </c>
      <c r="AG317">
        <v>5070</v>
      </c>
      <c r="AH317">
        <v>3377.2</v>
      </c>
      <c r="AI317" s="5">
        <v>0.30384165542060299</v>
      </c>
    </row>
    <row r="318" spans="14:35" x14ac:dyDescent="0.25">
      <c r="N318" t="s">
        <v>336</v>
      </c>
      <c r="O318" s="1">
        <v>46166.375</v>
      </c>
      <c r="P318" t="s">
        <v>22</v>
      </c>
      <c r="Q318" t="s">
        <v>277</v>
      </c>
      <c r="R318" t="s">
        <v>29</v>
      </c>
      <c r="S318">
        <v>179</v>
      </c>
      <c r="T318" t="s">
        <v>25</v>
      </c>
      <c r="U318">
        <v>150</v>
      </c>
      <c r="V318">
        <v>65</v>
      </c>
      <c r="W318">
        <v>1.8</v>
      </c>
      <c r="X318" t="s">
        <v>278</v>
      </c>
      <c r="Y318">
        <v>8</v>
      </c>
      <c r="Z318">
        <v>0.12</v>
      </c>
      <c r="AA318">
        <v>0.1</v>
      </c>
      <c r="AB318">
        <v>26850</v>
      </c>
      <c r="AC318">
        <v>24165</v>
      </c>
      <c r="AD318">
        <v>322.2</v>
      </c>
      <c r="AE318">
        <v>2899.7999999999997</v>
      </c>
      <c r="AF318">
        <v>2900</v>
      </c>
      <c r="AG318">
        <v>11635</v>
      </c>
      <c r="AH318">
        <v>6730.2000000000007</v>
      </c>
      <c r="AI318" s="5">
        <v>0.278510242085661</v>
      </c>
    </row>
    <row r="319" spans="14:35" x14ac:dyDescent="0.25">
      <c r="N319" t="s">
        <v>337</v>
      </c>
      <c r="O319" s="1">
        <v>46166.625</v>
      </c>
      <c r="P319" t="s">
        <v>22</v>
      </c>
      <c r="Q319" t="s">
        <v>277</v>
      </c>
      <c r="R319" t="s">
        <v>24</v>
      </c>
      <c r="S319">
        <v>191</v>
      </c>
      <c r="T319" t="s">
        <v>25</v>
      </c>
      <c r="U319">
        <v>150</v>
      </c>
      <c r="V319">
        <v>65</v>
      </c>
      <c r="W319">
        <v>1.8</v>
      </c>
      <c r="X319" t="s">
        <v>278</v>
      </c>
      <c r="Y319">
        <v>8</v>
      </c>
      <c r="Z319">
        <v>0.12</v>
      </c>
      <c r="AA319">
        <v>0.02</v>
      </c>
      <c r="AB319">
        <v>28650</v>
      </c>
      <c r="AC319">
        <v>28077</v>
      </c>
      <c r="AD319">
        <v>343.8</v>
      </c>
      <c r="AE319">
        <v>3369.24</v>
      </c>
      <c r="AF319">
        <v>3369</v>
      </c>
      <c r="AG319">
        <v>12415</v>
      </c>
      <c r="AH319">
        <v>8923.760000000002</v>
      </c>
      <c r="AI319" s="5">
        <v>0.31783167717348698</v>
      </c>
    </row>
    <row r="320" spans="14:35" x14ac:dyDescent="0.25">
      <c r="N320" t="s">
        <v>338</v>
      </c>
      <c r="O320" s="1">
        <v>46167.375</v>
      </c>
      <c r="P320" t="s">
        <v>22</v>
      </c>
      <c r="Q320" t="s">
        <v>277</v>
      </c>
      <c r="R320" t="s">
        <v>24</v>
      </c>
      <c r="S320">
        <v>23</v>
      </c>
      <c r="T320" t="s">
        <v>25</v>
      </c>
      <c r="U320">
        <v>150</v>
      </c>
      <c r="V320">
        <v>65</v>
      </c>
      <c r="W320">
        <v>1.8</v>
      </c>
      <c r="X320" t="s">
        <v>278</v>
      </c>
      <c r="Y320">
        <v>8</v>
      </c>
      <c r="Z320">
        <v>0.12</v>
      </c>
      <c r="AA320">
        <v>0.02</v>
      </c>
      <c r="AB320">
        <v>3450</v>
      </c>
      <c r="AC320">
        <v>3381</v>
      </c>
      <c r="AD320">
        <v>41.4</v>
      </c>
      <c r="AE320">
        <v>405.71999999999997</v>
      </c>
      <c r="AF320">
        <v>406</v>
      </c>
      <c r="AG320">
        <v>1495</v>
      </c>
      <c r="AH320">
        <v>1074.2799999999997</v>
      </c>
      <c r="AI320" s="5">
        <v>0.317740313516711</v>
      </c>
    </row>
    <row r="321" spans="14:35" x14ac:dyDescent="0.25">
      <c r="N321" t="s">
        <v>339</v>
      </c>
      <c r="O321" s="1">
        <v>46167.5</v>
      </c>
      <c r="P321" t="s">
        <v>22</v>
      </c>
      <c r="Q321" t="s">
        <v>277</v>
      </c>
      <c r="R321" t="s">
        <v>24</v>
      </c>
      <c r="S321">
        <v>112</v>
      </c>
      <c r="T321" t="s">
        <v>25</v>
      </c>
      <c r="U321">
        <v>150</v>
      </c>
      <c r="V321">
        <v>65</v>
      </c>
      <c r="W321">
        <v>1.8</v>
      </c>
      <c r="X321" t="s">
        <v>278</v>
      </c>
      <c r="Y321">
        <v>8</v>
      </c>
      <c r="Z321">
        <v>0.12</v>
      </c>
      <c r="AA321">
        <v>0.02</v>
      </c>
      <c r="AB321">
        <v>16800</v>
      </c>
      <c r="AC321">
        <v>16464</v>
      </c>
      <c r="AD321">
        <v>201.6</v>
      </c>
      <c r="AE321">
        <v>1975.6799999999998</v>
      </c>
      <c r="AF321">
        <v>1976</v>
      </c>
      <c r="AG321">
        <v>7280</v>
      </c>
      <c r="AH321">
        <v>5232.32</v>
      </c>
      <c r="AI321" s="5">
        <v>0.31780369290573401</v>
      </c>
    </row>
    <row r="322" spans="14:35" x14ac:dyDescent="0.25">
      <c r="N322" t="s">
        <v>340</v>
      </c>
      <c r="O322" s="1">
        <v>46167.541666666664</v>
      </c>
      <c r="P322" t="s">
        <v>22</v>
      </c>
      <c r="Q322" t="s">
        <v>277</v>
      </c>
      <c r="R322" t="s">
        <v>24</v>
      </c>
      <c r="S322">
        <v>190</v>
      </c>
      <c r="T322" t="s">
        <v>25</v>
      </c>
      <c r="U322">
        <v>150</v>
      </c>
      <c r="V322">
        <v>65</v>
      </c>
      <c r="W322">
        <v>1.8</v>
      </c>
      <c r="X322" t="s">
        <v>278</v>
      </c>
      <c r="Y322">
        <v>8</v>
      </c>
      <c r="Z322">
        <v>0.12</v>
      </c>
      <c r="AA322">
        <v>0.02</v>
      </c>
      <c r="AB322">
        <v>28500</v>
      </c>
      <c r="AC322">
        <v>27930</v>
      </c>
      <c r="AD322">
        <v>342</v>
      </c>
      <c r="AE322">
        <v>3351.6</v>
      </c>
      <c r="AF322">
        <v>3352</v>
      </c>
      <c r="AG322">
        <v>12350</v>
      </c>
      <c r="AH322">
        <v>8876.4000000000015</v>
      </c>
      <c r="AI322" s="5">
        <v>0.31780880773362002</v>
      </c>
    </row>
    <row r="323" spans="14:35" x14ac:dyDescent="0.25">
      <c r="N323" t="s">
        <v>341</v>
      </c>
      <c r="O323" s="1">
        <v>46167.833333333336</v>
      </c>
      <c r="P323" t="s">
        <v>22</v>
      </c>
      <c r="Q323" t="s">
        <v>277</v>
      </c>
      <c r="R323" t="s">
        <v>32</v>
      </c>
      <c r="S323">
        <v>25</v>
      </c>
      <c r="T323" t="s">
        <v>25</v>
      </c>
      <c r="U323">
        <v>150</v>
      </c>
      <c r="V323">
        <v>65</v>
      </c>
      <c r="W323">
        <v>1.8</v>
      </c>
      <c r="X323" t="s">
        <v>278</v>
      </c>
      <c r="Y323">
        <v>8</v>
      </c>
      <c r="Z323">
        <v>0.12</v>
      </c>
      <c r="AA323">
        <v>0.05</v>
      </c>
      <c r="AB323">
        <v>3750</v>
      </c>
      <c r="AC323">
        <v>3562</v>
      </c>
      <c r="AD323">
        <v>45</v>
      </c>
      <c r="AE323">
        <v>427.44</v>
      </c>
      <c r="AF323">
        <v>427</v>
      </c>
      <c r="AG323">
        <v>1625</v>
      </c>
      <c r="AH323">
        <v>1082.56</v>
      </c>
      <c r="AI323" s="5">
        <v>0.30391914654688401</v>
      </c>
    </row>
    <row r="324" spans="14:35" x14ac:dyDescent="0.25">
      <c r="N324" t="s">
        <v>342</v>
      </c>
      <c r="O324" s="1">
        <v>46168.125</v>
      </c>
      <c r="P324" t="s">
        <v>22</v>
      </c>
      <c r="Q324" t="s">
        <v>277</v>
      </c>
      <c r="R324" t="s">
        <v>32</v>
      </c>
      <c r="S324">
        <v>127</v>
      </c>
      <c r="T324" t="s">
        <v>25</v>
      </c>
      <c r="U324">
        <v>150</v>
      </c>
      <c r="V324">
        <v>65</v>
      </c>
      <c r="W324">
        <v>1.8</v>
      </c>
      <c r="X324" t="s">
        <v>278</v>
      </c>
      <c r="Y324">
        <v>8</v>
      </c>
      <c r="Z324">
        <v>0.12</v>
      </c>
      <c r="AA324">
        <v>0.05</v>
      </c>
      <c r="AB324">
        <v>19050</v>
      </c>
      <c r="AC324">
        <v>18098</v>
      </c>
      <c r="AD324">
        <v>228.6</v>
      </c>
      <c r="AE324">
        <v>2171.7599999999998</v>
      </c>
      <c r="AF324">
        <v>2172</v>
      </c>
      <c r="AG324">
        <v>8255</v>
      </c>
      <c r="AH324">
        <v>5499.24</v>
      </c>
      <c r="AI324" s="5">
        <v>0.30385898994364002</v>
      </c>
    </row>
    <row r="325" spans="14:35" x14ac:dyDescent="0.25">
      <c r="N325" t="s">
        <v>343</v>
      </c>
      <c r="O325" s="1">
        <v>46168.166666666664</v>
      </c>
      <c r="P325" t="s">
        <v>22</v>
      </c>
      <c r="Q325" t="s">
        <v>277</v>
      </c>
      <c r="R325" t="s">
        <v>24</v>
      </c>
      <c r="S325">
        <v>172</v>
      </c>
      <c r="T325" t="s">
        <v>25</v>
      </c>
      <c r="U325">
        <v>150</v>
      </c>
      <c r="V325">
        <v>65</v>
      </c>
      <c r="W325">
        <v>1.8</v>
      </c>
      <c r="X325" t="s">
        <v>278</v>
      </c>
      <c r="Y325">
        <v>8</v>
      </c>
      <c r="Z325">
        <v>0.12</v>
      </c>
      <c r="AA325">
        <v>0.02</v>
      </c>
      <c r="AB325">
        <v>25800</v>
      </c>
      <c r="AC325">
        <v>25284</v>
      </c>
      <c r="AD325">
        <v>309.60000000000002</v>
      </c>
      <c r="AE325">
        <v>3034.08</v>
      </c>
      <c r="AF325">
        <v>3034</v>
      </c>
      <c r="AG325">
        <v>11180</v>
      </c>
      <c r="AH325">
        <v>8035.9199999999983</v>
      </c>
      <c r="AI325" s="5">
        <v>0.31782629330802098</v>
      </c>
    </row>
    <row r="326" spans="14:35" x14ac:dyDescent="0.25">
      <c r="N326" t="s">
        <v>344</v>
      </c>
      <c r="O326" s="1">
        <v>46168.208333333336</v>
      </c>
      <c r="P326" t="s">
        <v>22</v>
      </c>
      <c r="Q326" t="s">
        <v>277</v>
      </c>
      <c r="R326" t="s">
        <v>32</v>
      </c>
      <c r="S326">
        <v>69</v>
      </c>
      <c r="T326" t="s">
        <v>25</v>
      </c>
      <c r="U326">
        <v>150</v>
      </c>
      <c r="V326">
        <v>65</v>
      </c>
      <c r="W326">
        <v>1.8</v>
      </c>
      <c r="X326" t="s">
        <v>278</v>
      </c>
      <c r="Y326">
        <v>8</v>
      </c>
      <c r="Z326">
        <v>0.12</v>
      </c>
      <c r="AA326">
        <v>0.05</v>
      </c>
      <c r="AB326">
        <v>10350</v>
      </c>
      <c r="AC326">
        <v>9832</v>
      </c>
      <c r="AD326">
        <v>124.2</v>
      </c>
      <c r="AE326">
        <v>1179.8399999999999</v>
      </c>
      <c r="AF326">
        <v>1180</v>
      </c>
      <c r="AG326">
        <v>4485</v>
      </c>
      <c r="AH326">
        <v>2987.16</v>
      </c>
      <c r="AI326" s="5">
        <v>0.303820179007323</v>
      </c>
    </row>
    <row r="327" spans="14:35" x14ac:dyDescent="0.25">
      <c r="N327" t="s">
        <v>345</v>
      </c>
      <c r="O327" s="1">
        <v>46168.666666666664</v>
      </c>
      <c r="P327" t="s">
        <v>22</v>
      </c>
      <c r="Q327" t="s">
        <v>277</v>
      </c>
      <c r="R327" t="s">
        <v>24</v>
      </c>
      <c r="S327">
        <v>104</v>
      </c>
      <c r="T327" t="s">
        <v>25</v>
      </c>
      <c r="U327">
        <v>150</v>
      </c>
      <c r="V327">
        <v>65</v>
      </c>
      <c r="W327">
        <v>1.8</v>
      </c>
      <c r="X327" t="s">
        <v>278</v>
      </c>
      <c r="Y327">
        <v>8</v>
      </c>
      <c r="Z327">
        <v>0.12</v>
      </c>
      <c r="AA327">
        <v>0.02</v>
      </c>
      <c r="AB327">
        <v>15600</v>
      </c>
      <c r="AC327">
        <v>15288</v>
      </c>
      <c r="AD327">
        <v>187.20000000000002</v>
      </c>
      <c r="AE327">
        <v>1834.56</v>
      </c>
      <c r="AF327">
        <v>1835</v>
      </c>
      <c r="AG327">
        <v>6760</v>
      </c>
      <c r="AH327">
        <v>4858.4400000000005</v>
      </c>
      <c r="AI327" s="5">
        <v>0.31779434850863397</v>
      </c>
    </row>
    <row r="328" spans="14:35" x14ac:dyDescent="0.25">
      <c r="N328" t="s">
        <v>346</v>
      </c>
      <c r="O328" s="1">
        <v>46169</v>
      </c>
      <c r="P328" t="s">
        <v>22</v>
      </c>
      <c r="Q328" t="s">
        <v>277</v>
      </c>
      <c r="R328" t="s">
        <v>32</v>
      </c>
      <c r="S328">
        <v>194</v>
      </c>
      <c r="T328" t="s">
        <v>25</v>
      </c>
      <c r="U328">
        <v>150</v>
      </c>
      <c r="V328">
        <v>65</v>
      </c>
      <c r="W328">
        <v>1.8</v>
      </c>
      <c r="X328" t="s">
        <v>278</v>
      </c>
      <c r="Y328">
        <v>8</v>
      </c>
      <c r="Z328">
        <v>0.12</v>
      </c>
      <c r="AA328">
        <v>0.05</v>
      </c>
      <c r="AB328">
        <v>29100</v>
      </c>
      <c r="AC328">
        <v>27645</v>
      </c>
      <c r="AD328">
        <v>349.2</v>
      </c>
      <c r="AE328">
        <v>3317.4</v>
      </c>
      <c r="AF328">
        <v>3317</v>
      </c>
      <c r="AG328">
        <v>12610</v>
      </c>
      <c r="AH328">
        <v>8400.5999999999985</v>
      </c>
      <c r="AI328" s="5">
        <v>0.303874118285404</v>
      </c>
    </row>
    <row r="329" spans="14:35" x14ac:dyDescent="0.25">
      <c r="N329" t="s">
        <v>347</v>
      </c>
      <c r="O329" s="1">
        <v>46169.541666666664</v>
      </c>
      <c r="P329" t="s">
        <v>22</v>
      </c>
      <c r="Q329" t="s">
        <v>277</v>
      </c>
      <c r="R329" t="s">
        <v>29</v>
      </c>
      <c r="S329">
        <v>52</v>
      </c>
      <c r="T329" t="s">
        <v>25</v>
      </c>
      <c r="U329">
        <v>150</v>
      </c>
      <c r="V329">
        <v>65</v>
      </c>
      <c r="W329">
        <v>1.8</v>
      </c>
      <c r="X329" t="s">
        <v>278</v>
      </c>
      <c r="Y329">
        <v>8</v>
      </c>
      <c r="Z329">
        <v>0.12</v>
      </c>
      <c r="AA329">
        <v>0.1</v>
      </c>
      <c r="AB329">
        <v>7800</v>
      </c>
      <c r="AC329">
        <v>7020</v>
      </c>
      <c r="AD329">
        <v>93.600000000000009</v>
      </c>
      <c r="AE329">
        <v>842.4</v>
      </c>
      <c r="AF329">
        <v>842</v>
      </c>
      <c r="AG329">
        <v>3380</v>
      </c>
      <c r="AH329">
        <v>1955.6000000000004</v>
      </c>
      <c r="AI329" s="5">
        <v>0.27857549857549901</v>
      </c>
    </row>
    <row r="330" spans="14:35" x14ac:dyDescent="0.25">
      <c r="N330" t="s">
        <v>348</v>
      </c>
      <c r="O330" s="1">
        <v>46169.625</v>
      </c>
      <c r="P330" t="s">
        <v>22</v>
      </c>
      <c r="Q330" t="s">
        <v>277</v>
      </c>
      <c r="R330" t="s">
        <v>24</v>
      </c>
      <c r="S330">
        <v>77</v>
      </c>
      <c r="T330" t="s">
        <v>25</v>
      </c>
      <c r="U330">
        <v>150</v>
      </c>
      <c r="V330">
        <v>65</v>
      </c>
      <c r="W330">
        <v>1.8</v>
      </c>
      <c r="X330" t="s">
        <v>278</v>
      </c>
      <c r="Y330">
        <v>8</v>
      </c>
      <c r="Z330">
        <v>0.12</v>
      </c>
      <c r="AA330">
        <v>0.02</v>
      </c>
      <c r="AB330">
        <v>11550</v>
      </c>
      <c r="AC330">
        <v>11319</v>
      </c>
      <c r="AD330">
        <v>138.6</v>
      </c>
      <c r="AE330">
        <v>1358.28</v>
      </c>
      <c r="AF330">
        <v>1358</v>
      </c>
      <c r="AG330">
        <v>5005</v>
      </c>
      <c r="AH330">
        <v>3597.7200000000003</v>
      </c>
      <c r="AI330" s="5">
        <v>0.31784786641929502</v>
      </c>
    </row>
    <row r="331" spans="14:35" x14ac:dyDescent="0.25">
      <c r="N331" t="s">
        <v>349</v>
      </c>
      <c r="O331" s="1">
        <v>46169.833333333336</v>
      </c>
      <c r="P331" t="s">
        <v>22</v>
      </c>
      <c r="Q331" t="s">
        <v>277</v>
      </c>
      <c r="R331" t="s">
        <v>32</v>
      </c>
      <c r="S331">
        <v>36</v>
      </c>
      <c r="T331" t="s">
        <v>25</v>
      </c>
      <c r="U331">
        <v>150</v>
      </c>
      <c r="V331">
        <v>65</v>
      </c>
      <c r="W331">
        <v>1.8</v>
      </c>
      <c r="X331" t="s">
        <v>278</v>
      </c>
      <c r="Y331">
        <v>8</v>
      </c>
      <c r="Z331">
        <v>0.12</v>
      </c>
      <c r="AA331">
        <v>0.05</v>
      </c>
      <c r="AB331">
        <v>5400</v>
      </c>
      <c r="AC331">
        <v>5130</v>
      </c>
      <c r="AD331">
        <v>64.8</v>
      </c>
      <c r="AE331">
        <v>615.6</v>
      </c>
      <c r="AF331">
        <v>616</v>
      </c>
      <c r="AG331">
        <v>2340</v>
      </c>
      <c r="AH331">
        <v>1558.4</v>
      </c>
      <c r="AI331" s="5">
        <v>0.30378167641325499</v>
      </c>
    </row>
    <row r="332" spans="14:35" x14ac:dyDescent="0.25">
      <c r="N332" t="s">
        <v>350</v>
      </c>
      <c r="O332" s="1">
        <v>46171.541666666664</v>
      </c>
      <c r="P332" t="s">
        <v>22</v>
      </c>
      <c r="Q332" t="s">
        <v>277</v>
      </c>
      <c r="R332" t="s">
        <v>24</v>
      </c>
      <c r="S332">
        <v>183</v>
      </c>
      <c r="T332" t="s">
        <v>25</v>
      </c>
      <c r="U332">
        <v>150</v>
      </c>
      <c r="V332">
        <v>65</v>
      </c>
      <c r="W332">
        <v>1.8</v>
      </c>
      <c r="X332" t="s">
        <v>278</v>
      </c>
      <c r="Y332">
        <v>8</v>
      </c>
      <c r="Z332">
        <v>0.12</v>
      </c>
      <c r="AA332">
        <v>0.02</v>
      </c>
      <c r="AB332">
        <v>27450</v>
      </c>
      <c r="AC332">
        <v>26901</v>
      </c>
      <c r="AD332">
        <v>329.40000000000003</v>
      </c>
      <c r="AE332">
        <v>3228.12</v>
      </c>
      <c r="AF332">
        <v>3228</v>
      </c>
      <c r="AG332">
        <v>11895</v>
      </c>
      <c r="AH332">
        <v>8549.880000000001</v>
      </c>
      <c r="AI332" s="5">
        <v>0.31782759005241401</v>
      </c>
    </row>
    <row r="333" spans="14:35" x14ac:dyDescent="0.25">
      <c r="N333" t="s">
        <v>351</v>
      </c>
      <c r="O333" s="1">
        <v>46172.416666666664</v>
      </c>
      <c r="P333" t="s">
        <v>22</v>
      </c>
      <c r="Q333" t="s">
        <v>277</v>
      </c>
      <c r="R333" t="s">
        <v>32</v>
      </c>
      <c r="S333">
        <v>92</v>
      </c>
      <c r="T333" t="s">
        <v>25</v>
      </c>
      <c r="U333">
        <v>150</v>
      </c>
      <c r="V333">
        <v>65</v>
      </c>
      <c r="W333">
        <v>1.8</v>
      </c>
      <c r="X333" t="s">
        <v>278</v>
      </c>
      <c r="Y333">
        <v>8</v>
      </c>
      <c r="Z333">
        <v>0.12</v>
      </c>
      <c r="AA333">
        <v>0.05</v>
      </c>
      <c r="AB333">
        <v>13800</v>
      </c>
      <c r="AC333">
        <v>13110</v>
      </c>
      <c r="AD333">
        <v>165.6</v>
      </c>
      <c r="AE333">
        <v>1573.2</v>
      </c>
      <c r="AF333">
        <v>1573</v>
      </c>
      <c r="AG333">
        <v>5980</v>
      </c>
      <c r="AH333">
        <v>3983.7999999999993</v>
      </c>
      <c r="AI333" s="5">
        <v>0.30387490465293698</v>
      </c>
    </row>
    <row r="334" spans="14:35" x14ac:dyDescent="0.25">
      <c r="N334" t="s">
        <v>352</v>
      </c>
      <c r="O334" s="1">
        <v>46172.625</v>
      </c>
      <c r="P334" t="s">
        <v>22</v>
      </c>
      <c r="Q334" t="s">
        <v>277</v>
      </c>
      <c r="R334" t="s">
        <v>29</v>
      </c>
      <c r="S334">
        <v>51</v>
      </c>
      <c r="T334" t="s">
        <v>25</v>
      </c>
      <c r="U334">
        <v>150</v>
      </c>
      <c r="V334">
        <v>65</v>
      </c>
      <c r="W334">
        <v>1.8</v>
      </c>
      <c r="X334" t="s">
        <v>278</v>
      </c>
      <c r="Y334">
        <v>8</v>
      </c>
      <c r="Z334">
        <v>0.12</v>
      </c>
      <c r="AA334">
        <v>0.1</v>
      </c>
      <c r="AB334">
        <v>7650</v>
      </c>
      <c r="AC334">
        <v>6885</v>
      </c>
      <c r="AD334">
        <v>91.8</v>
      </c>
      <c r="AE334">
        <v>826.19999999999993</v>
      </c>
      <c r="AF334">
        <v>826</v>
      </c>
      <c r="AG334">
        <v>3315</v>
      </c>
      <c r="AH334">
        <v>1917.8000000000002</v>
      </c>
      <c r="AI334" s="5">
        <v>0.278547567175018</v>
      </c>
    </row>
    <row r="335" spans="14:35" x14ac:dyDescent="0.25">
      <c r="N335" t="s">
        <v>353</v>
      </c>
      <c r="O335" s="1">
        <v>46172.75</v>
      </c>
      <c r="P335" t="s">
        <v>22</v>
      </c>
      <c r="Q335" t="s">
        <v>277</v>
      </c>
      <c r="R335" t="s">
        <v>32</v>
      </c>
      <c r="S335">
        <v>167</v>
      </c>
      <c r="T335" t="s">
        <v>25</v>
      </c>
      <c r="U335">
        <v>150</v>
      </c>
      <c r="V335">
        <v>65</v>
      </c>
      <c r="W335">
        <v>1.8</v>
      </c>
      <c r="X335" t="s">
        <v>278</v>
      </c>
      <c r="Y335">
        <v>8</v>
      </c>
      <c r="Z335">
        <v>0.12</v>
      </c>
      <c r="AA335">
        <v>0.05</v>
      </c>
      <c r="AB335">
        <v>25050</v>
      </c>
      <c r="AC335">
        <v>23798</v>
      </c>
      <c r="AD335">
        <v>300.60000000000002</v>
      </c>
      <c r="AE335">
        <v>2855.7599999999998</v>
      </c>
      <c r="AF335">
        <v>2856</v>
      </c>
      <c r="AG335">
        <v>10855</v>
      </c>
      <c r="AH335">
        <v>7231.239999999998</v>
      </c>
      <c r="AI335" s="5">
        <v>0.30385914782754803</v>
      </c>
    </row>
    <row r="336" spans="14:35" x14ac:dyDescent="0.25">
      <c r="N336" t="s">
        <v>354</v>
      </c>
      <c r="O336" s="1">
        <v>46172.875</v>
      </c>
      <c r="P336" t="s">
        <v>22</v>
      </c>
      <c r="Q336" t="s">
        <v>277</v>
      </c>
      <c r="R336" t="s">
        <v>24</v>
      </c>
      <c r="S336">
        <v>105</v>
      </c>
      <c r="T336" t="s">
        <v>25</v>
      </c>
      <c r="U336">
        <v>150</v>
      </c>
      <c r="V336">
        <v>65</v>
      </c>
      <c r="W336">
        <v>1.8</v>
      </c>
      <c r="X336" t="s">
        <v>278</v>
      </c>
      <c r="Y336">
        <v>8</v>
      </c>
      <c r="Z336">
        <v>0.12</v>
      </c>
      <c r="AA336">
        <v>0.02</v>
      </c>
      <c r="AB336">
        <v>15750</v>
      </c>
      <c r="AC336">
        <v>15435</v>
      </c>
      <c r="AD336">
        <v>189</v>
      </c>
      <c r="AE336">
        <v>1852.1999999999998</v>
      </c>
      <c r="AF336">
        <v>1852</v>
      </c>
      <c r="AG336">
        <v>6825</v>
      </c>
      <c r="AH336">
        <v>4905.7999999999993</v>
      </c>
      <c r="AI336" s="5">
        <v>0.31783608681567899</v>
      </c>
    </row>
    <row r="337" spans="14:35" x14ac:dyDescent="0.25">
      <c r="N337" t="s">
        <v>355</v>
      </c>
      <c r="O337" s="1">
        <v>46173.625</v>
      </c>
      <c r="P337" t="s">
        <v>22</v>
      </c>
      <c r="Q337" t="s">
        <v>277</v>
      </c>
      <c r="R337" t="s">
        <v>32</v>
      </c>
      <c r="S337">
        <v>146</v>
      </c>
      <c r="T337" t="s">
        <v>25</v>
      </c>
      <c r="U337">
        <v>150</v>
      </c>
      <c r="V337">
        <v>65</v>
      </c>
      <c r="W337">
        <v>1.8</v>
      </c>
      <c r="X337" t="s">
        <v>278</v>
      </c>
      <c r="Y337">
        <v>8</v>
      </c>
      <c r="Z337">
        <v>0.12</v>
      </c>
      <c r="AA337">
        <v>0.05</v>
      </c>
      <c r="AB337">
        <v>21900</v>
      </c>
      <c r="AC337">
        <v>20805</v>
      </c>
      <c r="AD337">
        <v>262.8</v>
      </c>
      <c r="AE337">
        <v>2496.6</v>
      </c>
      <c r="AF337">
        <v>2497</v>
      </c>
      <c r="AG337">
        <v>9490</v>
      </c>
      <c r="AH337">
        <v>6321.4</v>
      </c>
      <c r="AI337" s="5">
        <v>0.30384042297524599</v>
      </c>
    </row>
    <row r="338" spans="14:35" x14ac:dyDescent="0.25">
      <c r="N338" t="s">
        <v>356</v>
      </c>
      <c r="O338" s="1">
        <v>46173.791666666664</v>
      </c>
      <c r="P338" t="s">
        <v>22</v>
      </c>
      <c r="Q338" t="s">
        <v>277</v>
      </c>
      <c r="R338" t="s">
        <v>32</v>
      </c>
      <c r="S338">
        <v>14</v>
      </c>
      <c r="T338" t="s">
        <v>25</v>
      </c>
      <c r="U338">
        <v>150</v>
      </c>
      <c r="V338">
        <v>65</v>
      </c>
      <c r="W338">
        <v>1.8</v>
      </c>
      <c r="X338" t="s">
        <v>278</v>
      </c>
      <c r="Y338">
        <v>8</v>
      </c>
      <c r="Z338">
        <v>0.12</v>
      </c>
      <c r="AA338">
        <v>0.05</v>
      </c>
      <c r="AB338">
        <v>2100</v>
      </c>
      <c r="AC338">
        <v>1995</v>
      </c>
      <c r="AD338">
        <v>25.2</v>
      </c>
      <c r="AE338">
        <v>239.39999999999998</v>
      </c>
      <c r="AF338">
        <v>239</v>
      </c>
      <c r="AG338">
        <v>910</v>
      </c>
      <c r="AH338">
        <v>606.59999999999991</v>
      </c>
      <c r="AI338" s="5">
        <v>0.30406015037593997</v>
      </c>
    </row>
    <row r="339" spans="14:35" x14ac:dyDescent="0.25">
      <c r="N339" t="s">
        <v>357</v>
      </c>
      <c r="O339" s="1">
        <v>46174.125</v>
      </c>
      <c r="P339" t="s">
        <v>22</v>
      </c>
      <c r="Q339" t="s">
        <v>277</v>
      </c>
      <c r="R339" t="s">
        <v>29</v>
      </c>
      <c r="S339">
        <v>159</v>
      </c>
      <c r="T339" t="s">
        <v>25</v>
      </c>
      <c r="U339">
        <v>150</v>
      </c>
      <c r="V339">
        <v>65</v>
      </c>
      <c r="W339">
        <v>1.8</v>
      </c>
      <c r="X339" t="s">
        <v>278</v>
      </c>
      <c r="Y339">
        <v>8</v>
      </c>
      <c r="Z339">
        <v>0.12</v>
      </c>
      <c r="AA339">
        <v>0.1</v>
      </c>
      <c r="AB339">
        <v>23850</v>
      </c>
      <c r="AC339">
        <v>21465</v>
      </c>
      <c r="AD339">
        <v>286.2</v>
      </c>
      <c r="AE339">
        <v>2575.7999999999997</v>
      </c>
      <c r="AF339">
        <v>2576</v>
      </c>
      <c r="AG339">
        <v>10335</v>
      </c>
      <c r="AH339">
        <v>5978.2000000000007</v>
      </c>
      <c r="AI339" s="5">
        <v>0.27850920102492399</v>
      </c>
    </row>
    <row r="340" spans="14:35" x14ac:dyDescent="0.25">
      <c r="N340" t="s">
        <v>358</v>
      </c>
      <c r="O340" s="1">
        <v>46174.333333333336</v>
      </c>
      <c r="P340" t="s">
        <v>22</v>
      </c>
      <c r="Q340" t="s">
        <v>277</v>
      </c>
      <c r="R340" t="s">
        <v>24</v>
      </c>
      <c r="S340">
        <v>165</v>
      </c>
      <c r="T340" t="s">
        <v>25</v>
      </c>
      <c r="U340">
        <v>150</v>
      </c>
      <c r="V340">
        <v>65</v>
      </c>
      <c r="W340">
        <v>1.8</v>
      </c>
      <c r="X340" t="s">
        <v>278</v>
      </c>
      <c r="Y340">
        <v>8</v>
      </c>
      <c r="Z340">
        <v>0.12</v>
      </c>
      <c r="AA340">
        <v>0.02</v>
      </c>
      <c r="AB340">
        <v>24750</v>
      </c>
      <c r="AC340">
        <v>24255</v>
      </c>
      <c r="AD340">
        <v>297</v>
      </c>
      <c r="AE340">
        <v>2910.6</v>
      </c>
      <c r="AF340">
        <v>2911</v>
      </c>
      <c r="AG340">
        <v>10725</v>
      </c>
      <c r="AH340">
        <v>7708.4000000000015</v>
      </c>
      <c r="AI340" s="5">
        <v>0.31780663780663798</v>
      </c>
    </row>
    <row r="341" spans="14:35" x14ac:dyDescent="0.25">
      <c r="N341" t="s">
        <v>359</v>
      </c>
      <c r="O341" s="1">
        <v>46174.458333333336</v>
      </c>
      <c r="P341" t="s">
        <v>22</v>
      </c>
      <c r="Q341" t="s">
        <v>277</v>
      </c>
      <c r="R341" t="s">
        <v>29</v>
      </c>
      <c r="S341">
        <v>183</v>
      </c>
      <c r="T341" t="s">
        <v>25</v>
      </c>
      <c r="U341">
        <v>150</v>
      </c>
      <c r="V341">
        <v>65</v>
      </c>
      <c r="W341">
        <v>1.8</v>
      </c>
      <c r="X341" t="s">
        <v>278</v>
      </c>
      <c r="Y341">
        <v>8</v>
      </c>
      <c r="Z341">
        <v>0.12</v>
      </c>
      <c r="AA341">
        <v>0.1</v>
      </c>
      <c r="AB341">
        <v>27450</v>
      </c>
      <c r="AC341">
        <v>24705</v>
      </c>
      <c r="AD341">
        <v>329.40000000000003</v>
      </c>
      <c r="AE341">
        <v>2964.6</v>
      </c>
      <c r="AF341">
        <v>2965</v>
      </c>
      <c r="AG341">
        <v>11895</v>
      </c>
      <c r="AH341">
        <v>6880.4000000000015</v>
      </c>
      <c r="AI341" s="5">
        <v>0.27850232746407599</v>
      </c>
    </row>
    <row r="342" spans="14:35" x14ac:dyDescent="0.25">
      <c r="N342" t="s">
        <v>360</v>
      </c>
      <c r="O342" s="1">
        <v>46175.041666666664</v>
      </c>
      <c r="P342" t="s">
        <v>22</v>
      </c>
      <c r="Q342" t="s">
        <v>277</v>
      </c>
      <c r="R342" t="s">
        <v>29</v>
      </c>
      <c r="S342">
        <v>156</v>
      </c>
      <c r="T342" t="s">
        <v>25</v>
      </c>
      <c r="U342">
        <v>150</v>
      </c>
      <c r="V342">
        <v>65</v>
      </c>
      <c r="W342">
        <v>1.8</v>
      </c>
      <c r="X342" t="s">
        <v>278</v>
      </c>
      <c r="Y342">
        <v>8</v>
      </c>
      <c r="Z342">
        <v>0.12</v>
      </c>
      <c r="AA342">
        <v>0.1</v>
      </c>
      <c r="AB342">
        <v>23400</v>
      </c>
      <c r="AC342">
        <v>21060</v>
      </c>
      <c r="AD342">
        <v>280.8</v>
      </c>
      <c r="AE342">
        <v>2527.1999999999998</v>
      </c>
      <c r="AF342">
        <v>2527</v>
      </c>
      <c r="AG342">
        <v>10140</v>
      </c>
      <c r="AH342">
        <v>5865.7999999999993</v>
      </c>
      <c r="AI342" s="5">
        <v>0.27852801519468201</v>
      </c>
    </row>
    <row r="343" spans="14:35" x14ac:dyDescent="0.25">
      <c r="N343" t="s">
        <v>361</v>
      </c>
      <c r="O343" s="1">
        <v>46175.208333333336</v>
      </c>
      <c r="P343" t="s">
        <v>22</v>
      </c>
      <c r="Q343" t="s">
        <v>277</v>
      </c>
      <c r="R343" t="s">
        <v>32</v>
      </c>
      <c r="S343">
        <v>62</v>
      </c>
      <c r="T343" t="s">
        <v>25</v>
      </c>
      <c r="U343">
        <v>150</v>
      </c>
      <c r="V343">
        <v>65</v>
      </c>
      <c r="W343">
        <v>1.8</v>
      </c>
      <c r="X343" t="s">
        <v>278</v>
      </c>
      <c r="Y343">
        <v>8</v>
      </c>
      <c r="Z343">
        <v>0.12</v>
      </c>
      <c r="AA343">
        <v>0.05</v>
      </c>
      <c r="AB343">
        <v>9300</v>
      </c>
      <c r="AC343">
        <v>8835</v>
      </c>
      <c r="AD343">
        <v>111.60000000000001</v>
      </c>
      <c r="AE343">
        <v>1060.2</v>
      </c>
      <c r="AF343">
        <v>1060</v>
      </c>
      <c r="AG343">
        <v>4030</v>
      </c>
      <c r="AH343">
        <v>2684.8</v>
      </c>
      <c r="AI343" s="5">
        <v>0.30388228636106401</v>
      </c>
    </row>
    <row r="344" spans="14:35" x14ac:dyDescent="0.25">
      <c r="N344" t="s">
        <v>362</v>
      </c>
      <c r="O344" s="1">
        <v>46175.25</v>
      </c>
      <c r="P344" t="s">
        <v>22</v>
      </c>
      <c r="Q344" t="s">
        <v>277</v>
      </c>
      <c r="R344" t="s">
        <v>32</v>
      </c>
      <c r="S344">
        <v>198</v>
      </c>
      <c r="T344" t="s">
        <v>25</v>
      </c>
      <c r="U344">
        <v>150</v>
      </c>
      <c r="V344">
        <v>65</v>
      </c>
      <c r="W344">
        <v>1.8</v>
      </c>
      <c r="X344" t="s">
        <v>278</v>
      </c>
      <c r="Y344">
        <v>8</v>
      </c>
      <c r="Z344">
        <v>0.12</v>
      </c>
      <c r="AA344">
        <v>0.05</v>
      </c>
      <c r="AB344">
        <v>29700</v>
      </c>
      <c r="AC344">
        <v>28215</v>
      </c>
      <c r="AD344">
        <v>356.40000000000003</v>
      </c>
      <c r="AE344">
        <v>3385.7999999999997</v>
      </c>
      <c r="AF344">
        <v>3386</v>
      </c>
      <c r="AG344">
        <v>12870</v>
      </c>
      <c r="AH344">
        <v>8573.2000000000007</v>
      </c>
      <c r="AI344" s="5">
        <v>0.30385256069466599</v>
      </c>
    </row>
    <row r="345" spans="14:35" x14ac:dyDescent="0.25">
      <c r="N345" t="s">
        <v>363</v>
      </c>
      <c r="O345" s="1">
        <v>46175.5</v>
      </c>
      <c r="P345" t="s">
        <v>22</v>
      </c>
      <c r="Q345" t="s">
        <v>277</v>
      </c>
      <c r="R345" t="s">
        <v>29</v>
      </c>
      <c r="S345">
        <v>19</v>
      </c>
      <c r="T345" t="s">
        <v>25</v>
      </c>
      <c r="U345">
        <v>150</v>
      </c>
      <c r="V345">
        <v>65</v>
      </c>
      <c r="W345">
        <v>1.8</v>
      </c>
      <c r="X345" t="s">
        <v>278</v>
      </c>
      <c r="Y345">
        <v>8</v>
      </c>
      <c r="Z345">
        <v>0.12</v>
      </c>
      <c r="AA345">
        <v>0.1</v>
      </c>
      <c r="AB345">
        <v>2850</v>
      </c>
      <c r="AC345">
        <v>2565</v>
      </c>
      <c r="AD345">
        <v>34.200000000000003</v>
      </c>
      <c r="AE345">
        <v>307.8</v>
      </c>
      <c r="AF345">
        <v>308</v>
      </c>
      <c r="AG345">
        <v>1235</v>
      </c>
      <c r="AH345">
        <v>714.2</v>
      </c>
      <c r="AI345" s="5">
        <v>0.27844054580896699</v>
      </c>
    </row>
    <row r="346" spans="14:35" x14ac:dyDescent="0.25">
      <c r="N346" t="s">
        <v>364</v>
      </c>
      <c r="O346" s="1">
        <v>46175.625</v>
      </c>
      <c r="P346" t="s">
        <v>22</v>
      </c>
      <c r="Q346" t="s">
        <v>277</v>
      </c>
      <c r="R346" t="s">
        <v>32</v>
      </c>
      <c r="S346">
        <v>182</v>
      </c>
      <c r="T346" t="s">
        <v>25</v>
      </c>
      <c r="U346">
        <v>150</v>
      </c>
      <c r="V346">
        <v>65</v>
      </c>
      <c r="W346">
        <v>1.8</v>
      </c>
      <c r="X346" t="s">
        <v>278</v>
      </c>
      <c r="Y346">
        <v>8</v>
      </c>
      <c r="Z346">
        <v>0.12</v>
      </c>
      <c r="AA346">
        <v>0.05</v>
      </c>
      <c r="AB346">
        <v>27300</v>
      </c>
      <c r="AC346">
        <v>25935</v>
      </c>
      <c r="AD346">
        <v>327.60000000000002</v>
      </c>
      <c r="AE346">
        <v>3112.2</v>
      </c>
      <c r="AF346">
        <v>3112</v>
      </c>
      <c r="AG346">
        <v>11830</v>
      </c>
      <c r="AH346">
        <v>7880.7999999999993</v>
      </c>
      <c r="AI346" s="5">
        <v>0.30386736070946602</v>
      </c>
    </row>
    <row r="347" spans="14:35" x14ac:dyDescent="0.25">
      <c r="N347" t="s">
        <v>365</v>
      </c>
      <c r="O347" s="1">
        <v>46176.125</v>
      </c>
      <c r="P347" t="s">
        <v>22</v>
      </c>
      <c r="Q347" t="s">
        <v>277</v>
      </c>
      <c r="R347" t="s">
        <v>29</v>
      </c>
      <c r="S347">
        <v>84</v>
      </c>
      <c r="T347" t="s">
        <v>25</v>
      </c>
      <c r="U347">
        <v>150</v>
      </c>
      <c r="V347">
        <v>65</v>
      </c>
      <c r="W347">
        <v>1.8</v>
      </c>
      <c r="X347" t="s">
        <v>278</v>
      </c>
      <c r="Y347">
        <v>8</v>
      </c>
      <c r="Z347">
        <v>0.12</v>
      </c>
      <c r="AA347">
        <v>0.1</v>
      </c>
      <c r="AB347">
        <v>12600</v>
      </c>
      <c r="AC347">
        <v>11340</v>
      </c>
      <c r="AD347">
        <v>151.20000000000002</v>
      </c>
      <c r="AE347">
        <v>1360.8</v>
      </c>
      <c r="AF347">
        <v>1361</v>
      </c>
      <c r="AG347">
        <v>5460</v>
      </c>
      <c r="AH347">
        <v>3158.2</v>
      </c>
      <c r="AI347" s="5">
        <v>0.27850088183421501</v>
      </c>
    </row>
    <row r="348" spans="14:35" x14ac:dyDescent="0.25">
      <c r="N348" t="s">
        <v>366</v>
      </c>
      <c r="O348" s="1">
        <v>46176.416666666664</v>
      </c>
      <c r="P348" t="s">
        <v>22</v>
      </c>
      <c r="Q348" t="s">
        <v>277</v>
      </c>
      <c r="R348" t="s">
        <v>32</v>
      </c>
      <c r="S348">
        <v>66</v>
      </c>
      <c r="T348" t="s">
        <v>25</v>
      </c>
      <c r="U348">
        <v>150</v>
      </c>
      <c r="V348">
        <v>65</v>
      </c>
      <c r="W348">
        <v>1.8</v>
      </c>
      <c r="X348" t="s">
        <v>278</v>
      </c>
      <c r="Y348">
        <v>8</v>
      </c>
      <c r="Z348">
        <v>0.12</v>
      </c>
      <c r="AA348">
        <v>0.05</v>
      </c>
      <c r="AB348">
        <v>9900</v>
      </c>
      <c r="AC348">
        <v>9405</v>
      </c>
      <c r="AD348">
        <v>118.8</v>
      </c>
      <c r="AE348">
        <v>1128.5999999999999</v>
      </c>
      <c r="AF348">
        <v>1129</v>
      </c>
      <c r="AG348">
        <v>4290</v>
      </c>
      <c r="AH348">
        <v>2857.3999999999996</v>
      </c>
      <c r="AI348" s="5">
        <v>0.30381711855396099</v>
      </c>
    </row>
    <row r="349" spans="14:35" x14ac:dyDescent="0.25">
      <c r="N349" t="s">
        <v>367</v>
      </c>
      <c r="O349" s="1">
        <v>46177</v>
      </c>
      <c r="P349" t="s">
        <v>22</v>
      </c>
      <c r="Q349" t="s">
        <v>277</v>
      </c>
      <c r="R349" t="s">
        <v>29</v>
      </c>
      <c r="S349">
        <v>84</v>
      </c>
      <c r="T349" t="s">
        <v>25</v>
      </c>
      <c r="U349">
        <v>150</v>
      </c>
      <c r="V349">
        <v>65</v>
      </c>
      <c r="W349">
        <v>1.8</v>
      </c>
      <c r="X349" t="s">
        <v>278</v>
      </c>
      <c r="Y349">
        <v>8</v>
      </c>
      <c r="Z349">
        <v>0.12</v>
      </c>
      <c r="AA349">
        <v>0.1</v>
      </c>
      <c r="AB349">
        <v>12600</v>
      </c>
      <c r="AC349">
        <v>11340</v>
      </c>
      <c r="AD349">
        <v>151.20000000000002</v>
      </c>
      <c r="AE349">
        <v>1360.8</v>
      </c>
      <c r="AF349">
        <v>1361</v>
      </c>
      <c r="AG349">
        <v>5460</v>
      </c>
      <c r="AH349">
        <v>3158.2</v>
      </c>
      <c r="AI349" s="5">
        <v>0.27850088183421501</v>
      </c>
    </row>
    <row r="350" spans="14:35" x14ac:dyDescent="0.25">
      <c r="N350" t="s">
        <v>368</v>
      </c>
      <c r="O350" s="1">
        <v>46177.083333333336</v>
      </c>
      <c r="P350" t="s">
        <v>22</v>
      </c>
      <c r="Q350" t="s">
        <v>277</v>
      </c>
      <c r="R350" t="s">
        <v>24</v>
      </c>
      <c r="S350">
        <v>36</v>
      </c>
      <c r="T350" t="s">
        <v>25</v>
      </c>
      <c r="U350">
        <v>150</v>
      </c>
      <c r="V350">
        <v>65</v>
      </c>
      <c r="W350">
        <v>1.8</v>
      </c>
      <c r="X350" t="s">
        <v>278</v>
      </c>
      <c r="Y350">
        <v>8</v>
      </c>
      <c r="Z350">
        <v>0.12</v>
      </c>
      <c r="AA350">
        <v>0.02</v>
      </c>
      <c r="AB350">
        <v>5400</v>
      </c>
      <c r="AC350">
        <v>5292</v>
      </c>
      <c r="AD350">
        <v>64.8</v>
      </c>
      <c r="AE350">
        <v>635.04</v>
      </c>
      <c r="AF350">
        <v>635</v>
      </c>
      <c r="AG350">
        <v>2340</v>
      </c>
      <c r="AH350">
        <v>1681.96</v>
      </c>
      <c r="AI350" s="5">
        <v>0.31783068783068802</v>
      </c>
    </row>
    <row r="351" spans="14:35" x14ac:dyDescent="0.25">
      <c r="N351" t="s">
        <v>369</v>
      </c>
      <c r="O351" s="1">
        <v>46177.791666666664</v>
      </c>
      <c r="P351" t="s">
        <v>22</v>
      </c>
      <c r="Q351" t="s">
        <v>277</v>
      </c>
      <c r="R351" t="s">
        <v>24</v>
      </c>
      <c r="S351">
        <v>62</v>
      </c>
      <c r="T351" t="s">
        <v>25</v>
      </c>
      <c r="U351">
        <v>150</v>
      </c>
      <c r="V351">
        <v>65</v>
      </c>
      <c r="W351">
        <v>1.8</v>
      </c>
      <c r="X351" t="s">
        <v>278</v>
      </c>
      <c r="Y351">
        <v>8</v>
      </c>
      <c r="Z351">
        <v>0.12</v>
      </c>
      <c r="AA351">
        <v>0.02</v>
      </c>
      <c r="AB351">
        <v>9300</v>
      </c>
      <c r="AC351">
        <v>9114</v>
      </c>
      <c r="AD351">
        <v>111.60000000000001</v>
      </c>
      <c r="AE351">
        <v>1093.68</v>
      </c>
      <c r="AF351">
        <v>1094</v>
      </c>
      <c r="AG351">
        <v>4030</v>
      </c>
      <c r="AH351">
        <v>2896.3199999999997</v>
      </c>
      <c r="AI351" s="5">
        <v>0.31778801843318</v>
      </c>
    </row>
    <row r="352" spans="14:35" x14ac:dyDescent="0.25">
      <c r="N352" t="s">
        <v>370</v>
      </c>
      <c r="O352" s="1">
        <v>46178.791666666664</v>
      </c>
      <c r="P352" t="s">
        <v>22</v>
      </c>
      <c r="Q352" t="s">
        <v>277</v>
      </c>
      <c r="R352" t="s">
        <v>32</v>
      </c>
      <c r="S352">
        <v>24</v>
      </c>
      <c r="T352" t="s">
        <v>25</v>
      </c>
      <c r="U352">
        <v>150</v>
      </c>
      <c r="V352">
        <v>65</v>
      </c>
      <c r="W352">
        <v>1.8</v>
      </c>
      <c r="X352" t="s">
        <v>278</v>
      </c>
      <c r="Y352">
        <v>8</v>
      </c>
      <c r="Z352">
        <v>0.12</v>
      </c>
      <c r="AA352">
        <v>0.05</v>
      </c>
      <c r="AB352">
        <v>3600</v>
      </c>
      <c r="AC352">
        <v>3420</v>
      </c>
      <c r="AD352">
        <v>43.2</v>
      </c>
      <c r="AE352">
        <v>410.4</v>
      </c>
      <c r="AF352">
        <v>410</v>
      </c>
      <c r="AG352">
        <v>1560</v>
      </c>
      <c r="AH352">
        <v>1039.5999999999999</v>
      </c>
      <c r="AI352" s="5">
        <v>0.30397660818713401</v>
      </c>
    </row>
    <row r="353" spans="14:35" x14ac:dyDescent="0.25">
      <c r="N353" t="s">
        <v>371</v>
      </c>
      <c r="O353" s="1">
        <v>46179.458333333336</v>
      </c>
      <c r="P353" t="s">
        <v>22</v>
      </c>
      <c r="Q353" t="s">
        <v>277</v>
      </c>
      <c r="R353" t="s">
        <v>24</v>
      </c>
      <c r="S353">
        <v>91</v>
      </c>
      <c r="T353" t="s">
        <v>25</v>
      </c>
      <c r="U353">
        <v>150</v>
      </c>
      <c r="V353">
        <v>65</v>
      </c>
      <c r="W353">
        <v>1.8</v>
      </c>
      <c r="X353" t="s">
        <v>278</v>
      </c>
      <c r="Y353">
        <v>8</v>
      </c>
      <c r="Z353">
        <v>0.12</v>
      </c>
      <c r="AA353">
        <v>0.02</v>
      </c>
      <c r="AB353">
        <v>13650</v>
      </c>
      <c r="AC353">
        <v>13377</v>
      </c>
      <c r="AD353">
        <v>163.80000000000001</v>
      </c>
      <c r="AE353">
        <v>1605.24</v>
      </c>
      <c r="AF353">
        <v>1605</v>
      </c>
      <c r="AG353">
        <v>5915</v>
      </c>
      <c r="AH353">
        <v>4251.76</v>
      </c>
      <c r="AI353" s="5">
        <v>0.31784107049413202</v>
      </c>
    </row>
    <row r="354" spans="14:35" x14ac:dyDescent="0.25">
      <c r="N354" t="s">
        <v>372</v>
      </c>
      <c r="O354" s="1">
        <v>46179.916666666664</v>
      </c>
      <c r="P354" t="s">
        <v>22</v>
      </c>
      <c r="Q354" t="s">
        <v>277</v>
      </c>
      <c r="R354" t="s">
        <v>24</v>
      </c>
      <c r="S354">
        <v>197</v>
      </c>
      <c r="T354" t="s">
        <v>25</v>
      </c>
      <c r="U354">
        <v>150</v>
      </c>
      <c r="V354">
        <v>65</v>
      </c>
      <c r="W354">
        <v>1.8</v>
      </c>
      <c r="X354" t="s">
        <v>278</v>
      </c>
      <c r="Y354">
        <v>8</v>
      </c>
      <c r="Z354">
        <v>0.12</v>
      </c>
      <c r="AA354">
        <v>0.02</v>
      </c>
      <c r="AB354">
        <v>29550</v>
      </c>
      <c r="AC354">
        <v>28959</v>
      </c>
      <c r="AD354">
        <v>354.6</v>
      </c>
      <c r="AE354">
        <v>3475.08</v>
      </c>
      <c r="AF354">
        <v>3475</v>
      </c>
      <c r="AG354">
        <v>12805</v>
      </c>
      <c r="AH354">
        <v>9203.9199999999983</v>
      </c>
      <c r="AI354" s="5">
        <v>0.317825891778031</v>
      </c>
    </row>
    <row r="355" spans="14:35" x14ac:dyDescent="0.25">
      <c r="N355" t="s">
        <v>373</v>
      </c>
      <c r="O355" s="1">
        <v>46180.458333333336</v>
      </c>
      <c r="P355" t="s">
        <v>22</v>
      </c>
      <c r="Q355" t="s">
        <v>277</v>
      </c>
      <c r="R355" t="s">
        <v>32</v>
      </c>
      <c r="S355">
        <v>69</v>
      </c>
      <c r="T355" t="s">
        <v>25</v>
      </c>
      <c r="U355">
        <v>150</v>
      </c>
      <c r="V355">
        <v>65</v>
      </c>
      <c r="W355">
        <v>1.8</v>
      </c>
      <c r="X355" t="s">
        <v>278</v>
      </c>
      <c r="Y355">
        <v>8</v>
      </c>
      <c r="Z355">
        <v>0.12</v>
      </c>
      <c r="AA355">
        <v>0.05</v>
      </c>
      <c r="AB355">
        <v>10350</v>
      </c>
      <c r="AC355">
        <v>9832</v>
      </c>
      <c r="AD355">
        <v>124.2</v>
      </c>
      <c r="AE355">
        <v>1179.8399999999999</v>
      </c>
      <c r="AF355">
        <v>1180</v>
      </c>
      <c r="AG355">
        <v>4485</v>
      </c>
      <c r="AH355">
        <v>2987.16</v>
      </c>
      <c r="AI355" s="5">
        <v>0.303820179007323</v>
      </c>
    </row>
    <row r="356" spans="14:35" x14ac:dyDescent="0.25">
      <c r="N356" t="s">
        <v>374</v>
      </c>
      <c r="O356" s="1">
        <v>46180.875</v>
      </c>
      <c r="P356" t="s">
        <v>22</v>
      </c>
      <c r="Q356" t="s">
        <v>277</v>
      </c>
      <c r="R356" t="s">
        <v>32</v>
      </c>
      <c r="S356">
        <v>166</v>
      </c>
      <c r="T356" t="s">
        <v>25</v>
      </c>
      <c r="U356">
        <v>150</v>
      </c>
      <c r="V356">
        <v>65</v>
      </c>
      <c r="W356">
        <v>1.8</v>
      </c>
      <c r="X356" t="s">
        <v>278</v>
      </c>
      <c r="Y356">
        <v>8</v>
      </c>
      <c r="Z356">
        <v>0.12</v>
      </c>
      <c r="AA356">
        <v>0.05</v>
      </c>
      <c r="AB356">
        <v>24900</v>
      </c>
      <c r="AC356">
        <v>23655</v>
      </c>
      <c r="AD356">
        <v>298.8</v>
      </c>
      <c r="AE356">
        <v>2838.6</v>
      </c>
      <c r="AF356">
        <v>2839</v>
      </c>
      <c r="AG356">
        <v>10790</v>
      </c>
      <c r="AH356">
        <v>7187.4000000000015</v>
      </c>
      <c r="AI356" s="5">
        <v>0.30384273937856698</v>
      </c>
    </row>
    <row r="357" spans="14:35" x14ac:dyDescent="0.25">
      <c r="N357" t="s">
        <v>375</v>
      </c>
      <c r="O357" s="1">
        <v>46181.666666666664</v>
      </c>
      <c r="P357" t="s">
        <v>22</v>
      </c>
      <c r="Q357" t="s">
        <v>277</v>
      </c>
      <c r="R357" t="s">
        <v>29</v>
      </c>
      <c r="S357">
        <v>13</v>
      </c>
      <c r="T357" t="s">
        <v>25</v>
      </c>
      <c r="U357">
        <v>150</v>
      </c>
      <c r="V357">
        <v>65</v>
      </c>
      <c r="W357">
        <v>1.8</v>
      </c>
      <c r="X357" t="s">
        <v>278</v>
      </c>
      <c r="Y357">
        <v>8</v>
      </c>
      <c r="Z357">
        <v>0.12</v>
      </c>
      <c r="AA357">
        <v>0.1</v>
      </c>
      <c r="AB357">
        <v>1950</v>
      </c>
      <c r="AC357">
        <v>1755</v>
      </c>
      <c r="AD357">
        <v>23.400000000000002</v>
      </c>
      <c r="AE357">
        <v>210.6</v>
      </c>
      <c r="AF357">
        <v>211</v>
      </c>
      <c r="AG357">
        <v>845</v>
      </c>
      <c r="AH357">
        <v>488.40000000000009</v>
      </c>
      <c r="AI357" s="5">
        <v>0.27829059829059799</v>
      </c>
    </row>
    <row r="358" spans="14:35" x14ac:dyDescent="0.25">
      <c r="N358" t="s">
        <v>376</v>
      </c>
      <c r="O358" s="1">
        <v>46181.708333333336</v>
      </c>
      <c r="P358" t="s">
        <v>22</v>
      </c>
      <c r="Q358" t="s">
        <v>277</v>
      </c>
      <c r="R358" t="s">
        <v>32</v>
      </c>
      <c r="S358">
        <v>164</v>
      </c>
      <c r="T358" t="s">
        <v>25</v>
      </c>
      <c r="U358">
        <v>150</v>
      </c>
      <c r="V358">
        <v>65</v>
      </c>
      <c r="W358">
        <v>1.8</v>
      </c>
      <c r="X358" t="s">
        <v>278</v>
      </c>
      <c r="Y358">
        <v>8</v>
      </c>
      <c r="Z358">
        <v>0.12</v>
      </c>
      <c r="AA358">
        <v>0.05</v>
      </c>
      <c r="AB358">
        <v>24600</v>
      </c>
      <c r="AC358">
        <v>23370</v>
      </c>
      <c r="AD358">
        <v>295.2</v>
      </c>
      <c r="AE358">
        <v>2804.4</v>
      </c>
      <c r="AF358">
        <v>2804</v>
      </c>
      <c r="AG358">
        <v>10660</v>
      </c>
      <c r="AH358">
        <v>7101.6</v>
      </c>
      <c r="AI358" s="5">
        <v>0.30387676508344003</v>
      </c>
    </row>
    <row r="359" spans="14:35" x14ac:dyDescent="0.25">
      <c r="N359" t="s">
        <v>377</v>
      </c>
      <c r="O359" s="1">
        <v>46181.833333333336</v>
      </c>
      <c r="P359" t="s">
        <v>22</v>
      </c>
      <c r="Q359" t="s">
        <v>277</v>
      </c>
      <c r="R359" t="s">
        <v>29</v>
      </c>
      <c r="S359">
        <v>165</v>
      </c>
      <c r="T359" t="s">
        <v>25</v>
      </c>
      <c r="U359">
        <v>150</v>
      </c>
      <c r="V359">
        <v>65</v>
      </c>
      <c r="W359">
        <v>1.8</v>
      </c>
      <c r="X359" t="s">
        <v>278</v>
      </c>
      <c r="Y359">
        <v>8</v>
      </c>
      <c r="Z359">
        <v>0.12</v>
      </c>
      <c r="AA359">
        <v>0.1</v>
      </c>
      <c r="AB359">
        <v>24750</v>
      </c>
      <c r="AC359">
        <v>22275</v>
      </c>
      <c r="AD359">
        <v>297</v>
      </c>
      <c r="AE359">
        <v>2673</v>
      </c>
      <c r="AF359">
        <v>2673</v>
      </c>
      <c r="AG359">
        <v>10725</v>
      </c>
      <c r="AH359">
        <v>6204</v>
      </c>
      <c r="AI359" s="5">
        <v>0.278518518518518</v>
      </c>
    </row>
    <row r="360" spans="14:35" x14ac:dyDescent="0.25">
      <c r="N360" t="s">
        <v>378</v>
      </c>
      <c r="O360" s="1">
        <v>46182.25</v>
      </c>
      <c r="P360" t="s">
        <v>22</v>
      </c>
      <c r="Q360" t="s">
        <v>277</v>
      </c>
      <c r="R360" t="s">
        <v>29</v>
      </c>
      <c r="S360">
        <v>194</v>
      </c>
      <c r="T360" t="s">
        <v>25</v>
      </c>
      <c r="U360">
        <v>150</v>
      </c>
      <c r="V360">
        <v>65</v>
      </c>
      <c r="W360">
        <v>1.8</v>
      </c>
      <c r="X360" t="s">
        <v>278</v>
      </c>
      <c r="Y360">
        <v>8</v>
      </c>
      <c r="Z360">
        <v>0.12</v>
      </c>
      <c r="AA360">
        <v>0.1</v>
      </c>
      <c r="AB360">
        <v>29100</v>
      </c>
      <c r="AC360">
        <v>26190</v>
      </c>
      <c r="AD360">
        <v>349.2</v>
      </c>
      <c r="AE360">
        <v>3142.7999999999997</v>
      </c>
      <c r="AF360">
        <v>3143</v>
      </c>
      <c r="AG360">
        <v>12610</v>
      </c>
      <c r="AH360">
        <v>7294.2000000000007</v>
      </c>
      <c r="AI360" s="5">
        <v>0.27851088201603702</v>
      </c>
    </row>
    <row r="361" spans="14:35" x14ac:dyDescent="0.25">
      <c r="N361" t="s">
        <v>379</v>
      </c>
      <c r="O361" s="1">
        <v>46182.791666666664</v>
      </c>
      <c r="P361" t="s">
        <v>22</v>
      </c>
      <c r="Q361" t="s">
        <v>277</v>
      </c>
      <c r="R361" t="s">
        <v>32</v>
      </c>
      <c r="S361">
        <v>178</v>
      </c>
      <c r="T361" t="s">
        <v>25</v>
      </c>
      <c r="U361">
        <v>150</v>
      </c>
      <c r="V361">
        <v>65</v>
      </c>
      <c r="W361">
        <v>1.8</v>
      </c>
      <c r="X361" t="s">
        <v>278</v>
      </c>
      <c r="Y361">
        <v>8</v>
      </c>
      <c r="Z361">
        <v>0.12</v>
      </c>
      <c r="AA361">
        <v>0.05</v>
      </c>
      <c r="AB361">
        <v>26700</v>
      </c>
      <c r="AC361">
        <v>25365</v>
      </c>
      <c r="AD361">
        <v>320.40000000000003</v>
      </c>
      <c r="AE361">
        <v>3043.7999999999997</v>
      </c>
      <c r="AF361">
        <v>3044</v>
      </c>
      <c r="AG361">
        <v>11570</v>
      </c>
      <c r="AH361">
        <v>7707.2000000000007</v>
      </c>
      <c r="AI361" s="5">
        <v>0.303851764242066</v>
      </c>
    </row>
    <row r="362" spans="14:35" x14ac:dyDescent="0.25">
      <c r="N362" t="s">
        <v>380</v>
      </c>
      <c r="O362" s="1">
        <v>46182.875</v>
      </c>
      <c r="P362" t="s">
        <v>22</v>
      </c>
      <c r="Q362" t="s">
        <v>277</v>
      </c>
      <c r="R362" t="s">
        <v>24</v>
      </c>
      <c r="S362">
        <v>19</v>
      </c>
      <c r="T362" t="s">
        <v>25</v>
      </c>
      <c r="U362">
        <v>150</v>
      </c>
      <c r="V362">
        <v>65</v>
      </c>
      <c r="W362">
        <v>1.8</v>
      </c>
      <c r="X362" t="s">
        <v>278</v>
      </c>
      <c r="Y362">
        <v>8</v>
      </c>
      <c r="Z362">
        <v>0.12</v>
      </c>
      <c r="AA362">
        <v>0.02</v>
      </c>
      <c r="AB362">
        <v>2850</v>
      </c>
      <c r="AC362">
        <v>2793</v>
      </c>
      <c r="AD362">
        <v>34.200000000000003</v>
      </c>
      <c r="AE362">
        <v>335.15999999999997</v>
      </c>
      <c r="AF362">
        <v>335</v>
      </c>
      <c r="AG362">
        <v>1235</v>
      </c>
      <c r="AH362">
        <v>887.84000000000015</v>
      </c>
      <c r="AI362" s="5">
        <v>0.317880415324024</v>
      </c>
    </row>
    <row r="363" spans="14:35" x14ac:dyDescent="0.25">
      <c r="N363" t="s">
        <v>381</v>
      </c>
      <c r="O363" s="1">
        <v>46183.166666666664</v>
      </c>
      <c r="P363" t="s">
        <v>22</v>
      </c>
      <c r="Q363" t="s">
        <v>277</v>
      </c>
      <c r="R363" t="s">
        <v>24</v>
      </c>
      <c r="S363">
        <v>95</v>
      </c>
      <c r="T363" t="s">
        <v>25</v>
      </c>
      <c r="U363">
        <v>150</v>
      </c>
      <c r="V363">
        <v>65</v>
      </c>
      <c r="W363">
        <v>1.8</v>
      </c>
      <c r="X363" t="s">
        <v>278</v>
      </c>
      <c r="Y363">
        <v>8</v>
      </c>
      <c r="Z363">
        <v>0.12</v>
      </c>
      <c r="AA363">
        <v>0.02</v>
      </c>
      <c r="AB363">
        <v>14250</v>
      </c>
      <c r="AC363">
        <v>13965</v>
      </c>
      <c r="AD363">
        <v>171</v>
      </c>
      <c r="AE363">
        <v>1675.8</v>
      </c>
      <c r="AF363">
        <v>1676</v>
      </c>
      <c r="AG363">
        <v>6175</v>
      </c>
      <c r="AH363">
        <v>4438.2000000000007</v>
      </c>
      <c r="AI363" s="5">
        <v>0.31780880773362002</v>
      </c>
    </row>
    <row r="364" spans="14:35" x14ac:dyDescent="0.25">
      <c r="N364" t="s">
        <v>382</v>
      </c>
      <c r="O364" s="1">
        <v>46183.583333333336</v>
      </c>
      <c r="P364" t="s">
        <v>22</v>
      </c>
      <c r="Q364" t="s">
        <v>277</v>
      </c>
      <c r="R364" t="s">
        <v>29</v>
      </c>
      <c r="S364">
        <v>131</v>
      </c>
      <c r="T364" t="s">
        <v>25</v>
      </c>
      <c r="U364">
        <v>150</v>
      </c>
      <c r="V364">
        <v>65</v>
      </c>
      <c r="W364">
        <v>1.8</v>
      </c>
      <c r="X364" t="s">
        <v>278</v>
      </c>
      <c r="Y364">
        <v>8</v>
      </c>
      <c r="Z364">
        <v>0.12</v>
      </c>
      <c r="AA364">
        <v>0.1</v>
      </c>
      <c r="AB364">
        <v>19650</v>
      </c>
      <c r="AC364">
        <v>17685</v>
      </c>
      <c r="AD364">
        <v>235.8</v>
      </c>
      <c r="AE364">
        <v>2122.1999999999998</v>
      </c>
      <c r="AF364">
        <v>2122</v>
      </c>
      <c r="AG364">
        <v>8515</v>
      </c>
      <c r="AH364">
        <v>4925.7999999999993</v>
      </c>
      <c r="AI364" s="5">
        <v>0.27852982753746103</v>
      </c>
    </row>
    <row r="365" spans="14:35" x14ac:dyDescent="0.25">
      <c r="N365" t="s">
        <v>383</v>
      </c>
      <c r="O365" s="1">
        <v>46183.791666666664</v>
      </c>
      <c r="P365" t="s">
        <v>22</v>
      </c>
      <c r="Q365" t="s">
        <v>277</v>
      </c>
      <c r="R365" t="s">
        <v>32</v>
      </c>
      <c r="S365">
        <v>163</v>
      </c>
      <c r="T365" t="s">
        <v>25</v>
      </c>
      <c r="U365">
        <v>150</v>
      </c>
      <c r="V365">
        <v>65</v>
      </c>
      <c r="W365">
        <v>1.8</v>
      </c>
      <c r="X365" t="s">
        <v>278</v>
      </c>
      <c r="Y365">
        <v>8</v>
      </c>
      <c r="Z365">
        <v>0.12</v>
      </c>
      <c r="AA365">
        <v>0.05</v>
      </c>
      <c r="AB365">
        <v>24450</v>
      </c>
      <c r="AC365">
        <v>23228</v>
      </c>
      <c r="AD365">
        <v>293.40000000000003</v>
      </c>
      <c r="AE365">
        <v>2787.3599999999997</v>
      </c>
      <c r="AF365">
        <v>2787</v>
      </c>
      <c r="AG365">
        <v>10595</v>
      </c>
      <c r="AH365">
        <v>7058.6399999999994</v>
      </c>
      <c r="AI365" s="5">
        <v>0.30388496641983798</v>
      </c>
    </row>
    <row r="366" spans="14:35" x14ac:dyDescent="0.25">
      <c r="N366" t="s">
        <v>384</v>
      </c>
      <c r="O366" s="1">
        <v>46184.166666666664</v>
      </c>
      <c r="P366" t="s">
        <v>22</v>
      </c>
      <c r="Q366" t="s">
        <v>277</v>
      </c>
      <c r="R366" t="s">
        <v>24</v>
      </c>
      <c r="S366">
        <v>43</v>
      </c>
      <c r="T366" t="s">
        <v>25</v>
      </c>
      <c r="U366">
        <v>150</v>
      </c>
      <c r="V366">
        <v>65</v>
      </c>
      <c r="W366">
        <v>1.8</v>
      </c>
      <c r="X366" t="s">
        <v>278</v>
      </c>
      <c r="Y366">
        <v>8</v>
      </c>
      <c r="Z366">
        <v>0.12</v>
      </c>
      <c r="AA366">
        <v>0.02</v>
      </c>
      <c r="AB366">
        <v>6450</v>
      </c>
      <c r="AC366">
        <v>6321</v>
      </c>
      <c r="AD366">
        <v>77.400000000000006</v>
      </c>
      <c r="AE366">
        <v>758.52</v>
      </c>
      <c r="AF366">
        <v>759</v>
      </c>
      <c r="AG366">
        <v>2795</v>
      </c>
      <c r="AH366">
        <v>2008.4799999999996</v>
      </c>
      <c r="AI366" s="5">
        <v>0.31774719190001599</v>
      </c>
    </row>
    <row r="367" spans="14:35" x14ac:dyDescent="0.25">
      <c r="N367" t="s">
        <v>385</v>
      </c>
      <c r="O367" s="1">
        <v>46184.375</v>
      </c>
      <c r="P367" t="s">
        <v>22</v>
      </c>
      <c r="Q367" t="s">
        <v>277</v>
      </c>
      <c r="R367" t="s">
        <v>32</v>
      </c>
      <c r="S367">
        <v>48</v>
      </c>
      <c r="T367" t="s">
        <v>25</v>
      </c>
      <c r="U367">
        <v>150</v>
      </c>
      <c r="V367">
        <v>65</v>
      </c>
      <c r="W367">
        <v>1.8</v>
      </c>
      <c r="X367" t="s">
        <v>278</v>
      </c>
      <c r="Y367">
        <v>8</v>
      </c>
      <c r="Z367">
        <v>0.12</v>
      </c>
      <c r="AA367">
        <v>0.05</v>
      </c>
      <c r="AB367">
        <v>7200</v>
      </c>
      <c r="AC367">
        <v>6840</v>
      </c>
      <c r="AD367">
        <v>86.4</v>
      </c>
      <c r="AE367">
        <v>820.8</v>
      </c>
      <c r="AF367">
        <v>821</v>
      </c>
      <c r="AG367">
        <v>3120</v>
      </c>
      <c r="AH367">
        <v>2078.1999999999998</v>
      </c>
      <c r="AI367" s="5">
        <v>0.30383040935672501</v>
      </c>
    </row>
    <row r="368" spans="14:35" x14ac:dyDescent="0.25">
      <c r="N368" t="s">
        <v>386</v>
      </c>
      <c r="O368" s="1">
        <v>46184.583333333336</v>
      </c>
      <c r="P368" t="s">
        <v>22</v>
      </c>
      <c r="Q368" t="s">
        <v>277</v>
      </c>
      <c r="R368" t="s">
        <v>24</v>
      </c>
      <c r="S368">
        <v>115</v>
      </c>
      <c r="T368" t="s">
        <v>25</v>
      </c>
      <c r="U368">
        <v>150</v>
      </c>
      <c r="V368">
        <v>65</v>
      </c>
      <c r="W368">
        <v>1.8</v>
      </c>
      <c r="X368" t="s">
        <v>278</v>
      </c>
      <c r="Y368">
        <v>8</v>
      </c>
      <c r="Z368">
        <v>0.12</v>
      </c>
      <c r="AA368">
        <v>0.02</v>
      </c>
      <c r="AB368">
        <v>17250</v>
      </c>
      <c r="AC368">
        <v>16905</v>
      </c>
      <c r="AD368">
        <v>207</v>
      </c>
      <c r="AE368">
        <v>2028.6</v>
      </c>
      <c r="AF368">
        <v>2029</v>
      </c>
      <c r="AG368">
        <v>7475</v>
      </c>
      <c r="AH368">
        <v>5372.4</v>
      </c>
      <c r="AI368" s="5">
        <v>0.31779946761313199</v>
      </c>
    </row>
    <row r="369" spans="14:35" x14ac:dyDescent="0.25">
      <c r="N369" t="s">
        <v>387</v>
      </c>
      <c r="O369" s="1">
        <v>46184.625</v>
      </c>
      <c r="P369" t="s">
        <v>22</v>
      </c>
      <c r="Q369" t="s">
        <v>277</v>
      </c>
      <c r="R369" t="s">
        <v>29</v>
      </c>
      <c r="S369">
        <v>135</v>
      </c>
      <c r="T369" t="s">
        <v>25</v>
      </c>
      <c r="U369">
        <v>150</v>
      </c>
      <c r="V369">
        <v>65</v>
      </c>
      <c r="W369">
        <v>1.8</v>
      </c>
      <c r="X369" t="s">
        <v>278</v>
      </c>
      <c r="Y369">
        <v>8</v>
      </c>
      <c r="Z369">
        <v>0.12</v>
      </c>
      <c r="AA369">
        <v>0.1</v>
      </c>
      <c r="AB369">
        <v>20250</v>
      </c>
      <c r="AC369">
        <v>18225</v>
      </c>
      <c r="AD369">
        <v>243</v>
      </c>
      <c r="AE369">
        <v>2187</v>
      </c>
      <c r="AF369">
        <v>2187</v>
      </c>
      <c r="AG369">
        <v>8775</v>
      </c>
      <c r="AH369">
        <v>5076</v>
      </c>
      <c r="AI369" s="5">
        <v>0.278518518518518</v>
      </c>
    </row>
    <row r="370" spans="14:35" x14ac:dyDescent="0.25">
      <c r="N370" t="s">
        <v>388</v>
      </c>
      <c r="O370" s="1">
        <v>46143.625</v>
      </c>
      <c r="P370" t="s">
        <v>389</v>
      </c>
      <c r="Q370" t="s">
        <v>155</v>
      </c>
      <c r="R370" t="s">
        <v>32</v>
      </c>
      <c r="S370">
        <v>43</v>
      </c>
      <c r="T370" t="s">
        <v>390</v>
      </c>
      <c r="U370">
        <v>280</v>
      </c>
      <c r="V370">
        <v>110</v>
      </c>
      <c r="W370">
        <v>2.2000000000000002</v>
      </c>
      <c r="X370" t="s">
        <v>156</v>
      </c>
      <c r="Y370">
        <v>12.5</v>
      </c>
      <c r="Z370">
        <v>0.15</v>
      </c>
      <c r="AA370">
        <v>0.05</v>
      </c>
      <c r="AB370">
        <v>12040</v>
      </c>
      <c r="AC370">
        <v>11438</v>
      </c>
      <c r="AD370">
        <v>94.600000000000009</v>
      </c>
      <c r="AE370">
        <v>1715.7</v>
      </c>
      <c r="AF370">
        <v>1716</v>
      </c>
      <c r="AG370">
        <v>4730</v>
      </c>
      <c r="AH370">
        <v>3276.3</v>
      </c>
      <c r="AI370" s="5">
        <v>0.28643993705193199</v>
      </c>
    </row>
    <row r="371" spans="14:35" x14ac:dyDescent="0.25">
      <c r="N371" t="s">
        <v>391</v>
      </c>
      <c r="O371" s="1">
        <v>46143.75</v>
      </c>
      <c r="P371" t="s">
        <v>389</v>
      </c>
      <c r="Q371" t="s">
        <v>155</v>
      </c>
      <c r="R371" t="s">
        <v>32</v>
      </c>
      <c r="S371">
        <v>159</v>
      </c>
      <c r="T371" t="s">
        <v>390</v>
      </c>
      <c r="U371">
        <v>280</v>
      </c>
      <c r="V371">
        <v>110</v>
      </c>
      <c r="W371">
        <v>2.2000000000000002</v>
      </c>
      <c r="X371" t="s">
        <v>156</v>
      </c>
      <c r="Y371">
        <v>12.5</v>
      </c>
      <c r="Z371">
        <v>0.15</v>
      </c>
      <c r="AA371">
        <v>0.05</v>
      </c>
      <c r="AB371">
        <v>44520</v>
      </c>
      <c r="AC371">
        <v>42294</v>
      </c>
      <c r="AD371">
        <v>349.8</v>
      </c>
      <c r="AE371">
        <v>6344.0999999999995</v>
      </c>
      <c r="AF371">
        <v>6344</v>
      </c>
      <c r="AG371">
        <v>17490</v>
      </c>
      <c r="AH371">
        <v>12115.900000000001</v>
      </c>
      <c r="AI371" s="5">
        <v>0.28646852981510401</v>
      </c>
    </row>
    <row r="372" spans="14:35" x14ac:dyDescent="0.25">
      <c r="N372" t="s">
        <v>392</v>
      </c>
      <c r="O372" s="1">
        <v>46144.166666666664</v>
      </c>
      <c r="P372" t="s">
        <v>389</v>
      </c>
      <c r="Q372" t="s">
        <v>155</v>
      </c>
      <c r="R372" t="s">
        <v>29</v>
      </c>
      <c r="S372">
        <v>97</v>
      </c>
      <c r="T372" t="s">
        <v>390</v>
      </c>
      <c r="U372">
        <v>280</v>
      </c>
      <c r="V372">
        <v>110</v>
      </c>
      <c r="W372">
        <v>2.2000000000000002</v>
      </c>
      <c r="X372" t="s">
        <v>156</v>
      </c>
      <c r="Y372">
        <v>12.5</v>
      </c>
      <c r="Z372">
        <v>0.15</v>
      </c>
      <c r="AA372">
        <v>0.1</v>
      </c>
      <c r="AB372">
        <v>27160</v>
      </c>
      <c r="AC372">
        <v>24444</v>
      </c>
      <c r="AD372">
        <v>213.4</v>
      </c>
      <c r="AE372">
        <v>3666.6</v>
      </c>
      <c r="AF372">
        <v>3667</v>
      </c>
      <c r="AG372">
        <v>10670</v>
      </c>
      <c r="AH372">
        <v>6440.4000000000015</v>
      </c>
      <c r="AI372" s="5">
        <v>0.26347569955817401</v>
      </c>
    </row>
    <row r="373" spans="14:35" x14ac:dyDescent="0.25">
      <c r="N373" t="s">
        <v>393</v>
      </c>
      <c r="O373" s="1">
        <v>46144.833333333336</v>
      </c>
      <c r="P373" t="s">
        <v>389</v>
      </c>
      <c r="Q373" t="s">
        <v>155</v>
      </c>
      <c r="R373" t="s">
        <v>29</v>
      </c>
      <c r="S373">
        <v>103</v>
      </c>
      <c r="T373" t="s">
        <v>390</v>
      </c>
      <c r="U373">
        <v>280</v>
      </c>
      <c r="V373">
        <v>110</v>
      </c>
      <c r="W373">
        <v>2.2000000000000002</v>
      </c>
      <c r="X373" t="s">
        <v>156</v>
      </c>
      <c r="Y373">
        <v>12.5</v>
      </c>
      <c r="Z373">
        <v>0.15</v>
      </c>
      <c r="AA373">
        <v>0.1</v>
      </c>
      <c r="AB373">
        <v>28840</v>
      </c>
      <c r="AC373">
        <v>25956</v>
      </c>
      <c r="AD373">
        <v>226.60000000000002</v>
      </c>
      <c r="AE373">
        <v>3893.3999999999996</v>
      </c>
      <c r="AF373">
        <v>3893</v>
      </c>
      <c r="AG373">
        <v>11330</v>
      </c>
      <c r="AH373">
        <v>6839.5999999999985</v>
      </c>
      <c r="AI373" s="5">
        <v>0.26350747418708598</v>
      </c>
    </row>
    <row r="374" spans="14:35" x14ac:dyDescent="0.25">
      <c r="N374" t="s">
        <v>394</v>
      </c>
      <c r="O374" s="1">
        <v>46145.375</v>
      </c>
      <c r="P374" t="s">
        <v>389</v>
      </c>
      <c r="Q374" t="s">
        <v>155</v>
      </c>
      <c r="R374" t="s">
        <v>24</v>
      </c>
      <c r="S374">
        <v>29</v>
      </c>
      <c r="T374" t="s">
        <v>390</v>
      </c>
      <c r="U374">
        <v>280</v>
      </c>
      <c r="V374">
        <v>110</v>
      </c>
      <c r="W374">
        <v>2.2000000000000002</v>
      </c>
      <c r="X374" t="s">
        <v>156</v>
      </c>
      <c r="Y374">
        <v>12.5</v>
      </c>
      <c r="Z374">
        <v>0.15</v>
      </c>
      <c r="AA374">
        <v>0.02</v>
      </c>
      <c r="AB374">
        <v>8120</v>
      </c>
      <c r="AC374">
        <v>7958</v>
      </c>
      <c r="AD374">
        <v>63.800000000000004</v>
      </c>
      <c r="AE374">
        <v>1193.7</v>
      </c>
      <c r="AF374">
        <v>1194</v>
      </c>
      <c r="AG374">
        <v>3190</v>
      </c>
      <c r="AH374">
        <v>2380.3000000000002</v>
      </c>
      <c r="AI374" s="5">
        <v>0.29910781603417902</v>
      </c>
    </row>
    <row r="375" spans="14:35" x14ac:dyDescent="0.25">
      <c r="N375" t="s">
        <v>395</v>
      </c>
      <c r="O375" s="1">
        <v>46145.5</v>
      </c>
      <c r="P375" t="s">
        <v>389</v>
      </c>
      <c r="Q375" t="s">
        <v>155</v>
      </c>
      <c r="R375" t="s">
        <v>29</v>
      </c>
      <c r="S375">
        <v>117</v>
      </c>
      <c r="T375" t="s">
        <v>390</v>
      </c>
      <c r="U375">
        <v>280</v>
      </c>
      <c r="V375">
        <v>110</v>
      </c>
      <c r="W375">
        <v>2.2000000000000002</v>
      </c>
      <c r="X375" t="s">
        <v>156</v>
      </c>
      <c r="Y375">
        <v>12.5</v>
      </c>
      <c r="Z375">
        <v>0.15</v>
      </c>
      <c r="AA375">
        <v>0.1</v>
      </c>
      <c r="AB375">
        <v>32760</v>
      </c>
      <c r="AC375">
        <v>29484</v>
      </c>
      <c r="AD375">
        <v>257.40000000000003</v>
      </c>
      <c r="AE375">
        <v>4422.5999999999995</v>
      </c>
      <c r="AF375">
        <v>4423</v>
      </c>
      <c r="AG375">
        <v>12870</v>
      </c>
      <c r="AH375">
        <v>7768.4000000000015</v>
      </c>
      <c r="AI375" s="5">
        <v>0.26347849681183</v>
      </c>
    </row>
    <row r="376" spans="14:35" x14ac:dyDescent="0.25">
      <c r="N376" t="s">
        <v>396</v>
      </c>
      <c r="O376" s="1">
        <v>46145.916666666664</v>
      </c>
      <c r="P376" t="s">
        <v>389</v>
      </c>
      <c r="Q376" t="s">
        <v>155</v>
      </c>
      <c r="R376" t="s">
        <v>32</v>
      </c>
      <c r="S376">
        <v>136</v>
      </c>
      <c r="T376" t="s">
        <v>390</v>
      </c>
      <c r="U376">
        <v>280</v>
      </c>
      <c r="V376">
        <v>110</v>
      </c>
      <c r="W376">
        <v>2.2000000000000002</v>
      </c>
      <c r="X376" t="s">
        <v>156</v>
      </c>
      <c r="Y376">
        <v>12.5</v>
      </c>
      <c r="Z376">
        <v>0.15</v>
      </c>
      <c r="AA376">
        <v>0.05</v>
      </c>
      <c r="AB376">
        <v>38080</v>
      </c>
      <c r="AC376">
        <v>36176</v>
      </c>
      <c r="AD376">
        <v>299.20000000000005</v>
      </c>
      <c r="AE376">
        <v>5426.4</v>
      </c>
      <c r="AF376">
        <v>5426</v>
      </c>
      <c r="AG376">
        <v>14960</v>
      </c>
      <c r="AH376">
        <v>10363.599999999999</v>
      </c>
      <c r="AI376" s="5">
        <v>0.286477222467934</v>
      </c>
    </row>
    <row r="377" spans="14:35" x14ac:dyDescent="0.25">
      <c r="N377" t="s">
        <v>397</v>
      </c>
      <c r="O377" s="1">
        <v>46146.125</v>
      </c>
      <c r="P377" t="s">
        <v>389</v>
      </c>
      <c r="Q377" t="s">
        <v>155</v>
      </c>
      <c r="R377" t="s">
        <v>24</v>
      </c>
      <c r="S377">
        <v>45</v>
      </c>
      <c r="T377" t="s">
        <v>390</v>
      </c>
      <c r="U377">
        <v>280</v>
      </c>
      <c r="V377">
        <v>110</v>
      </c>
      <c r="W377">
        <v>2.2000000000000002</v>
      </c>
      <c r="X377" t="s">
        <v>156</v>
      </c>
      <c r="Y377">
        <v>12.5</v>
      </c>
      <c r="Z377">
        <v>0.15</v>
      </c>
      <c r="AA377">
        <v>0.02</v>
      </c>
      <c r="AB377">
        <v>12600</v>
      </c>
      <c r="AC377">
        <v>12348</v>
      </c>
      <c r="AD377">
        <v>99.000000000000014</v>
      </c>
      <c r="AE377">
        <v>1852.1999999999998</v>
      </c>
      <c r="AF377">
        <v>1852</v>
      </c>
      <c r="AG377">
        <v>4950</v>
      </c>
      <c r="AH377">
        <v>3693.7999999999993</v>
      </c>
      <c r="AI377" s="5">
        <v>0.29914156138645898</v>
      </c>
    </row>
    <row r="378" spans="14:35" x14ac:dyDescent="0.25">
      <c r="N378" t="s">
        <v>398</v>
      </c>
      <c r="O378" s="1">
        <v>46147.083333333336</v>
      </c>
      <c r="P378" t="s">
        <v>389</v>
      </c>
      <c r="Q378" t="s">
        <v>155</v>
      </c>
      <c r="R378" t="s">
        <v>32</v>
      </c>
      <c r="S378">
        <v>172</v>
      </c>
      <c r="T378" t="s">
        <v>390</v>
      </c>
      <c r="U378">
        <v>280</v>
      </c>
      <c r="V378">
        <v>110</v>
      </c>
      <c r="W378">
        <v>2.2000000000000002</v>
      </c>
      <c r="X378" t="s">
        <v>156</v>
      </c>
      <c r="Y378">
        <v>12.5</v>
      </c>
      <c r="Z378">
        <v>0.15</v>
      </c>
      <c r="AA378">
        <v>0.05</v>
      </c>
      <c r="AB378">
        <v>48160</v>
      </c>
      <c r="AC378">
        <v>45752</v>
      </c>
      <c r="AD378">
        <v>378.40000000000003</v>
      </c>
      <c r="AE378">
        <v>6862.8</v>
      </c>
      <c r="AF378">
        <v>6863</v>
      </c>
      <c r="AG378">
        <v>18920</v>
      </c>
      <c r="AH378">
        <v>13106.2</v>
      </c>
      <c r="AI378" s="5">
        <v>0.28646179401993399</v>
      </c>
    </row>
    <row r="379" spans="14:35" x14ac:dyDescent="0.25">
      <c r="N379" t="s">
        <v>399</v>
      </c>
      <c r="O379" s="1">
        <v>46148.25</v>
      </c>
      <c r="P379" t="s">
        <v>389</v>
      </c>
      <c r="Q379" t="s">
        <v>155</v>
      </c>
      <c r="R379" t="s">
        <v>29</v>
      </c>
      <c r="S379">
        <v>85</v>
      </c>
      <c r="T379" t="s">
        <v>390</v>
      </c>
      <c r="U379">
        <v>280</v>
      </c>
      <c r="V379">
        <v>110</v>
      </c>
      <c r="W379">
        <v>2.2000000000000002</v>
      </c>
      <c r="X379" t="s">
        <v>156</v>
      </c>
      <c r="Y379">
        <v>12.5</v>
      </c>
      <c r="Z379">
        <v>0.15</v>
      </c>
      <c r="AA379">
        <v>0.1</v>
      </c>
      <c r="AB379">
        <v>23800</v>
      </c>
      <c r="AC379">
        <v>21420</v>
      </c>
      <c r="AD379">
        <v>187.00000000000003</v>
      </c>
      <c r="AE379">
        <v>3213</v>
      </c>
      <c r="AF379">
        <v>3213</v>
      </c>
      <c r="AG379">
        <v>9350</v>
      </c>
      <c r="AH379">
        <v>5644</v>
      </c>
      <c r="AI379" s="5">
        <v>0.263492063492064</v>
      </c>
    </row>
    <row r="380" spans="14:35" x14ac:dyDescent="0.25">
      <c r="N380" t="s">
        <v>400</v>
      </c>
      <c r="O380" s="1">
        <v>46148.625</v>
      </c>
      <c r="P380" t="s">
        <v>389</v>
      </c>
      <c r="Q380" t="s">
        <v>155</v>
      </c>
      <c r="R380" t="s">
        <v>24</v>
      </c>
      <c r="S380">
        <v>189</v>
      </c>
      <c r="T380" t="s">
        <v>390</v>
      </c>
      <c r="U380">
        <v>280</v>
      </c>
      <c r="V380">
        <v>110</v>
      </c>
      <c r="W380">
        <v>2.2000000000000002</v>
      </c>
      <c r="X380" t="s">
        <v>156</v>
      </c>
      <c r="Y380">
        <v>12.5</v>
      </c>
      <c r="Z380">
        <v>0.15</v>
      </c>
      <c r="AA380">
        <v>0.02</v>
      </c>
      <c r="AB380">
        <v>52920</v>
      </c>
      <c r="AC380">
        <v>51862</v>
      </c>
      <c r="AD380">
        <v>415.8</v>
      </c>
      <c r="AE380">
        <v>7779.2999999999993</v>
      </c>
      <c r="AF380">
        <v>7779</v>
      </c>
      <c r="AG380">
        <v>20790</v>
      </c>
      <c r="AH380">
        <v>15513.699999999997</v>
      </c>
      <c r="AI380" s="5">
        <v>0.29913424087000101</v>
      </c>
    </row>
    <row r="381" spans="14:35" x14ac:dyDescent="0.25">
      <c r="N381" t="s">
        <v>401</v>
      </c>
      <c r="O381" s="1">
        <v>46149.083333333336</v>
      </c>
      <c r="P381" t="s">
        <v>389</v>
      </c>
      <c r="Q381" t="s">
        <v>155</v>
      </c>
      <c r="R381" t="s">
        <v>29</v>
      </c>
      <c r="S381">
        <v>53</v>
      </c>
      <c r="T381" t="s">
        <v>390</v>
      </c>
      <c r="U381">
        <v>280</v>
      </c>
      <c r="V381">
        <v>110</v>
      </c>
      <c r="W381">
        <v>2.2000000000000002</v>
      </c>
      <c r="X381" t="s">
        <v>156</v>
      </c>
      <c r="Y381">
        <v>12.5</v>
      </c>
      <c r="Z381">
        <v>0.15</v>
      </c>
      <c r="AA381">
        <v>0.1</v>
      </c>
      <c r="AB381">
        <v>14840</v>
      </c>
      <c r="AC381">
        <v>13356</v>
      </c>
      <c r="AD381">
        <v>116.60000000000001</v>
      </c>
      <c r="AE381">
        <v>2003.3999999999999</v>
      </c>
      <c r="AF381">
        <v>2003</v>
      </c>
      <c r="AG381">
        <v>5830</v>
      </c>
      <c r="AH381">
        <v>3519.6000000000004</v>
      </c>
      <c r="AI381" s="5">
        <v>0.26352201257861602</v>
      </c>
    </row>
    <row r="382" spans="14:35" x14ac:dyDescent="0.25">
      <c r="N382" t="s">
        <v>402</v>
      </c>
      <c r="O382" s="1">
        <v>46149.5</v>
      </c>
      <c r="P382" t="s">
        <v>389</v>
      </c>
      <c r="Q382" t="s">
        <v>155</v>
      </c>
      <c r="R382" t="s">
        <v>29</v>
      </c>
      <c r="S382">
        <v>98</v>
      </c>
      <c r="T382" t="s">
        <v>390</v>
      </c>
      <c r="U382">
        <v>280</v>
      </c>
      <c r="V382">
        <v>110</v>
      </c>
      <c r="W382">
        <v>2.2000000000000002</v>
      </c>
      <c r="X382" t="s">
        <v>156</v>
      </c>
      <c r="Y382">
        <v>12.5</v>
      </c>
      <c r="Z382">
        <v>0.15</v>
      </c>
      <c r="AA382">
        <v>0.1</v>
      </c>
      <c r="AB382">
        <v>27440</v>
      </c>
      <c r="AC382">
        <v>24696</v>
      </c>
      <c r="AD382">
        <v>215.60000000000002</v>
      </c>
      <c r="AE382">
        <v>3704.3999999999996</v>
      </c>
      <c r="AF382">
        <v>3704</v>
      </c>
      <c r="AG382">
        <v>10780</v>
      </c>
      <c r="AH382">
        <v>6507.5999999999985</v>
      </c>
      <c r="AI382" s="5">
        <v>0.26350826044703601</v>
      </c>
    </row>
    <row r="383" spans="14:35" x14ac:dyDescent="0.25">
      <c r="N383" t="s">
        <v>403</v>
      </c>
      <c r="O383" s="1">
        <v>46149.541666666664</v>
      </c>
      <c r="P383" t="s">
        <v>389</v>
      </c>
      <c r="Q383" t="s">
        <v>155</v>
      </c>
      <c r="R383" t="s">
        <v>24</v>
      </c>
      <c r="S383">
        <v>66</v>
      </c>
      <c r="T383" t="s">
        <v>390</v>
      </c>
      <c r="U383">
        <v>280</v>
      </c>
      <c r="V383">
        <v>110</v>
      </c>
      <c r="W383">
        <v>2.2000000000000002</v>
      </c>
      <c r="X383" t="s">
        <v>156</v>
      </c>
      <c r="Y383">
        <v>12.5</v>
      </c>
      <c r="Z383">
        <v>0.15</v>
      </c>
      <c r="AA383">
        <v>0.02</v>
      </c>
      <c r="AB383">
        <v>18480</v>
      </c>
      <c r="AC383">
        <v>18110</v>
      </c>
      <c r="AD383">
        <v>145.20000000000002</v>
      </c>
      <c r="AE383">
        <v>2716.5</v>
      </c>
      <c r="AF383">
        <v>2716</v>
      </c>
      <c r="AG383">
        <v>7260</v>
      </c>
      <c r="AH383">
        <v>5417.5</v>
      </c>
      <c r="AI383" s="5">
        <v>0.299144119271121</v>
      </c>
    </row>
    <row r="384" spans="14:35" x14ac:dyDescent="0.25">
      <c r="N384" t="s">
        <v>404</v>
      </c>
      <c r="O384" s="1">
        <v>46149.583333333336</v>
      </c>
      <c r="P384" t="s">
        <v>389</v>
      </c>
      <c r="Q384" t="s">
        <v>155</v>
      </c>
      <c r="R384" t="s">
        <v>32</v>
      </c>
      <c r="S384">
        <v>84</v>
      </c>
      <c r="T384" t="s">
        <v>390</v>
      </c>
      <c r="U384">
        <v>280</v>
      </c>
      <c r="V384">
        <v>110</v>
      </c>
      <c r="W384">
        <v>2.2000000000000002</v>
      </c>
      <c r="X384" t="s">
        <v>156</v>
      </c>
      <c r="Y384">
        <v>12.5</v>
      </c>
      <c r="Z384">
        <v>0.15</v>
      </c>
      <c r="AA384">
        <v>0.05</v>
      </c>
      <c r="AB384">
        <v>23520</v>
      </c>
      <c r="AC384">
        <v>22344</v>
      </c>
      <c r="AD384">
        <v>184.8</v>
      </c>
      <c r="AE384">
        <v>3351.6</v>
      </c>
      <c r="AF384">
        <v>3352</v>
      </c>
      <c r="AG384">
        <v>9240</v>
      </c>
      <c r="AH384">
        <v>6400.4</v>
      </c>
      <c r="AI384" s="5">
        <v>0.286448263515933</v>
      </c>
    </row>
    <row r="385" spans="14:35" x14ac:dyDescent="0.25">
      <c r="N385" t="s">
        <v>405</v>
      </c>
      <c r="O385" s="1">
        <v>46149.625</v>
      </c>
      <c r="P385" t="s">
        <v>389</v>
      </c>
      <c r="Q385" t="s">
        <v>155</v>
      </c>
      <c r="R385" t="s">
        <v>24</v>
      </c>
      <c r="S385">
        <v>127</v>
      </c>
      <c r="T385" t="s">
        <v>390</v>
      </c>
      <c r="U385">
        <v>280</v>
      </c>
      <c r="V385">
        <v>110</v>
      </c>
      <c r="W385">
        <v>2.2000000000000002</v>
      </c>
      <c r="X385" t="s">
        <v>156</v>
      </c>
      <c r="Y385">
        <v>12.5</v>
      </c>
      <c r="Z385">
        <v>0.15</v>
      </c>
      <c r="AA385">
        <v>0.02</v>
      </c>
      <c r="AB385">
        <v>35560</v>
      </c>
      <c r="AC385">
        <v>34849</v>
      </c>
      <c r="AD385">
        <v>279.40000000000003</v>
      </c>
      <c r="AE385">
        <v>5227.3499999999995</v>
      </c>
      <c r="AF385">
        <v>5227</v>
      </c>
      <c r="AG385">
        <v>13970</v>
      </c>
      <c r="AH385">
        <v>10424.650000000001</v>
      </c>
      <c r="AI385" s="5">
        <v>0.29913770839909298</v>
      </c>
    </row>
    <row r="386" spans="14:35" x14ac:dyDescent="0.25">
      <c r="N386" t="s">
        <v>406</v>
      </c>
      <c r="O386" s="1">
        <v>46149.666666666664</v>
      </c>
      <c r="P386" t="s">
        <v>389</v>
      </c>
      <c r="Q386" t="s">
        <v>155</v>
      </c>
      <c r="R386" t="s">
        <v>32</v>
      </c>
      <c r="S386">
        <v>193</v>
      </c>
      <c r="T386" t="s">
        <v>390</v>
      </c>
      <c r="U386">
        <v>280</v>
      </c>
      <c r="V386">
        <v>110</v>
      </c>
      <c r="W386">
        <v>2.2000000000000002</v>
      </c>
      <c r="X386" t="s">
        <v>156</v>
      </c>
      <c r="Y386">
        <v>12.5</v>
      </c>
      <c r="Z386">
        <v>0.15</v>
      </c>
      <c r="AA386">
        <v>0.05</v>
      </c>
      <c r="AB386">
        <v>54040</v>
      </c>
      <c r="AC386">
        <v>51338</v>
      </c>
      <c r="AD386">
        <v>424.6</v>
      </c>
      <c r="AE386">
        <v>7700.7</v>
      </c>
      <c r="AF386">
        <v>7701</v>
      </c>
      <c r="AG386">
        <v>21230</v>
      </c>
      <c r="AH386">
        <v>14706.300000000003</v>
      </c>
      <c r="AI386" s="5">
        <v>0.286460321788928</v>
      </c>
    </row>
    <row r="387" spans="14:35" x14ac:dyDescent="0.25">
      <c r="N387" t="s">
        <v>407</v>
      </c>
      <c r="O387" s="1">
        <v>46149.958333333336</v>
      </c>
      <c r="P387" t="s">
        <v>389</v>
      </c>
      <c r="Q387" t="s">
        <v>155</v>
      </c>
      <c r="R387" t="s">
        <v>32</v>
      </c>
      <c r="S387">
        <v>173</v>
      </c>
      <c r="T387" t="s">
        <v>390</v>
      </c>
      <c r="U387">
        <v>280</v>
      </c>
      <c r="V387">
        <v>110</v>
      </c>
      <c r="W387">
        <v>2.2000000000000002</v>
      </c>
      <c r="X387" t="s">
        <v>156</v>
      </c>
      <c r="Y387">
        <v>12.5</v>
      </c>
      <c r="Z387">
        <v>0.15</v>
      </c>
      <c r="AA387">
        <v>0.05</v>
      </c>
      <c r="AB387">
        <v>48440</v>
      </c>
      <c r="AC387">
        <v>46018</v>
      </c>
      <c r="AD387">
        <v>380.6</v>
      </c>
      <c r="AE387">
        <v>6902.7</v>
      </c>
      <c r="AF387">
        <v>6903</v>
      </c>
      <c r="AG387">
        <v>19030</v>
      </c>
      <c r="AH387">
        <v>13182.300000000003</v>
      </c>
      <c r="AI387" s="5">
        <v>0.28645964622539</v>
      </c>
    </row>
    <row r="388" spans="14:35" x14ac:dyDescent="0.25">
      <c r="N388" t="s">
        <v>408</v>
      </c>
      <c r="O388" s="1">
        <v>46150.291666666664</v>
      </c>
      <c r="P388" t="s">
        <v>389</v>
      </c>
      <c r="Q388" t="s">
        <v>155</v>
      </c>
      <c r="R388" t="s">
        <v>32</v>
      </c>
      <c r="S388">
        <v>110</v>
      </c>
      <c r="T388" t="s">
        <v>390</v>
      </c>
      <c r="U388">
        <v>280</v>
      </c>
      <c r="V388">
        <v>110</v>
      </c>
      <c r="W388">
        <v>2.2000000000000002</v>
      </c>
      <c r="X388" t="s">
        <v>156</v>
      </c>
      <c r="Y388">
        <v>12.5</v>
      </c>
      <c r="Z388">
        <v>0.15</v>
      </c>
      <c r="AA388">
        <v>0.05</v>
      </c>
      <c r="AB388">
        <v>30800</v>
      </c>
      <c r="AC388">
        <v>29260</v>
      </c>
      <c r="AD388">
        <v>242.00000000000003</v>
      </c>
      <c r="AE388">
        <v>4389</v>
      </c>
      <c r="AF388">
        <v>4389</v>
      </c>
      <c r="AG388">
        <v>12100</v>
      </c>
      <c r="AH388">
        <v>8382</v>
      </c>
      <c r="AI388" s="5">
        <v>0.28646616541353398</v>
      </c>
    </row>
    <row r="389" spans="14:35" x14ac:dyDescent="0.25">
      <c r="N389" t="s">
        <v>409</v>
      </c>
      <c r="O389" s="1">
        <v>46150.416666666664</v>
      </c>
      <c r="P389" t="s">
        <v>389</v>
      </c>
      <c r="Q389" t="s">
        <v>155</v>
      </c>
      <c r="R389" t="s">
        <v>29</v>
      </c>
      <c r="S389">
        <v>121</v>
      </c>
      <c r="T389" t="s">
        <v>390</v>
      </c>
      <c r="U389">
        <v>280</v>
      </c>
      <c r="V389">
        <v>110</v>
      </c>
      <c r="W389">
        <v>2.2000000000000002</v>
      </c>
      <c r="X389" t="s">
        <v>156</v>
      </c>
      <c r="Y389">
        <v>12.5</v>
      </c>
      <c r="Z389">
        <v>0.15</v>
      </c>
      <c r="AA389">
        <v>0.1</v>
      </c>
      <c r="AB389">
        <v>33880</v>
      </c>
      <c r="AC389">
        <v>30492</v>
      </c>
      <c r="AD389">
        <v>266.20000000000005</v>
      </c>
      <c r="AE389">
        <v>4573.8</v>
      </c>
      <c r="AF389">
        <v>4574</v>
      </c>
      <c r="AG389">
        <v>13310</v>
      </c>
      <c r="AH389">
        <v>8034.2000000000007</v>
      </c>
      <c r="AI389" s="5">
        <v>0.263485504394595</v>
      </c>
    </row>
    <row r="390" spans="14:35" x14ac:dyDescent="0.25">
      <c r="N390" t="s">
        <v>410</v>
      </c>
      <c r="O390" s="1">
        <v>46150.458333333336</v>
      </c>
      <c r="P390" t="s">
        <v>389</v>
      </c>
      <c r="Q390" t="s">
        <v>155</v>
      </c>
      <c r="R390" t="s">
        <v>32</v>
      </c>
      <c r="S390">
        <v>82</v>
      </c>
      <c r="T390" t="s">
        <v>390</v>
      </c>
      <c r="U390">
        <v>280</v>
      </c>
      <c r="V390">
        <v>110</v>
      </c>
      <c r="W390">
        <v>2.2000000000000002</v>
      </c>
      <c r="X390" t="s">
        <v>156</v>
      </c>
      <c r="Y390">
        <v>12.5</v>
      </c>
      <c r="Z390">
        <v>0.15</v>
      </c>
      <c r="AA390">
        <v>0.05</v>
      </c>
      <c r="AB390">
        <v>22960</v>
      </c>
      <c r="AC390">
        <v>21812</v>
      </c>
      <c r="AD390">
        <v>180.4</v>
      </c>
      <c r="AE390">
        <v>3271.7999999999997</v>
      </c>
      <c r="AF390">
        <v>3272</v>
      </c>
      <c r="AG390">
        <v>9020</v>
      </c>
      <c r="AH390">
        <v>6248.2000000000007</v>
      </c>
      <c r="AI390" s="5">
        <v>0.28645699614890902</v>
      </c>
    </row>
    <row r="391" spans="14:35" x14ac:dyDescent="0.25">
      <c r="N391" t="s">
        <v>411</v>
      </c>
      <c r="O391" s="1">
        <v>46150.541666666664</v>
      </c>
      <c r="P391" t="s">
        <v>389</v>
      </c>
      <c r="Q391" t="s">
        <v>155</v>
      </c>
      <c r="R391" t="s">
        <v>29</v>
      </c>
      <c r="S391">
        <v>179</v>
      </c>
      <c r="T391" t="s">
        <v>390</v>
      </c>
      <c r="U391">
        <v>280</v>
      </c>
      <c r="V391">
        <v>110</v>
      </c>
      <c r="W391">
        <v>2.2000000000000002</v>
      </c>
      <c r="X391" t="s">
        <v>156</v>
      </c>
      <c r="Y391">
        <v>12.5</v>
      </c>
      <c r="Z391">
        <v>0.15</v>
      </c>
      <c r="AA391">
        <v>0.1</v>
      </c>
      <c r="AB391">
        <v>50120</v>
      </c>
      <c r="AC391">
        <v>45108</v>
      </c>
      <c r="AD391">
        <v>393.8</v>
      </c>
      <c r="AE391">
        <v>6766.2</v>
      </c>
      <c r="AF391">
        <v>6766</v>
      </c>
      <c r="AG391">
        <v>19690</v>
      </c>
      <c r="AH391">
        <v>11885.800000000003</v>
      </c>
      <c r="AI391" s="5">
        <v>0.26349649729537999</v>
      </c>
    </row>
    <row r="392" spans="14:35" x14ac:dyDescent="0.25">
      <c r="N392" t="s">
        <v>412</v>
      </c>
      <c r="O392" s="1">
        <v>46151</v>
      </c>
      <c r="P392" t="s">
        <v>389</v>
      </c>
      <c r="Q392" t="s">
        <v>155</v>
      </c>
      <c r="R392" t="s">
        <v>32</v>
      </c>
      <c r="S392">
        <v>134</v>
      </c>
      <c r="T392" t="s">
        <v>390</v>
      </c>
      <c r="U392">
        <v>280</v>
      </c>
      <c r="V392">
        <v>110</v>
      </c>
      <c r="W392">
        <v>2.2000000000000002</v>
      </c>
      <c r="X392" t="s">
        <v>156</v>
      </c>
      <c r="Y392">
        <v>12.5</v>
      </c>
      <c r="Z392">
        <v>0.15</v>
      </c>
      <c r="AA392">
        <v>0.05</v>
      </c>
      <c r="AB392">
        <v>37520</v>
      </c>
      <c r="AC392">
        <v>35644</v>
      </c>
      <c r="AD392">
        <v>294.8</v>
      </c>
      <c r="AE392">
        <v>5346.5999999999995</v>
      </c>
      <c r="AF392">
        <v>5347</v>
      </c>
      <c r="AG392">
        <v>14740</v>
      </c>
      <c r="AH392">
        <v>10210.400000000001</v>
      </c>
      <c r="AI392" s="5">
        <v>0.28645494332846999</v>
      </c>
    </row>
    <row r="393" spans="14:35" x14ac:dyDescent="0.25">
      <c r="N393" t="s">
        <v>413</v>
      </c>
      <c r="O393" s="1">
        <v>46151.083333333336</v>
      </c>
      <c r="P393" t="s">
        <v>389</v>
      </c>
      <c r="Q393" t="s">
        <v>155</v>
      </c>
      <c r="R393" t="s">
        <v>29</v>
      </c>
      <c r="S393">
        <v>97</v>
      </c>
      <c r="T393" t="s">
        <v>390</v>
      </c>
      <c r="U393">
        <v>280</v>
      </c>
      <c r="V393">
        <v>110</v>
      </c>
      <c r="W393">
        <v>2.2000000000000002</v>
      </c>
      <c r="X393" t="s">
        <v>156</v>
      </c>
      <c r="Y393">
        <v>12.5</v>
      </c>
      <c r="Z393">
        <v>0.15</v>
      </c>
      <c r="AA393">
        <v>0.1</v>
      </c>
      <c r="AB393">
        <v>27160</v>
      </c>
      <c r="AC393">
        <v>24444</v>
      </c>
      <c r="AD393">
        <v>213.4</v>
      </c>
      <c r="AE393">
        <v>3666.6</v>
      </c>
      <c r="AF393">
        <v>3667</v>
      </c>
      <c r="AG393">
        <v>10670</v>
      </c>
      <c r="AH393">
        <v>6440.4000000000015</v>
      </c>
      <c r="AI393" s="5">
        <v>0.26347569955817401</v>
      </c>
    </row>
    <row r="394" spans="14:35" x14ac:dyDescent="0.25">
      <c r="N394" t="s">
        <v>414</v>
      </c>
      <c r="O394" s="1">
        <v>46151.5</v>
      </c>
      <c r="P394" t="s">
        <v>389</v>
      </c>
      <c r="Q394" t="s">
        <v>155</v>
      </c>
      <c r="R394" t="s">
        <v>24</v>
      </c>
      <c r="S394">
        <v>36</v>
      </c>
      <c r="T394" t="s">
        <v>390</v>
      </c>
      <c r="U394">
        <v>280</v>
      </c>
      <c r="V394">
        <v>110</v>
      </c>
      <c r="W394">
        <v>2.2000000000000002</v>
      </c>
      <c r="X394" t="s">
        <v>156</v>
      </c>
      <c r="Y394">
        <v>12.5</v>
      </c>
      <c r="Z394">
        <v>0.15</v>
      </c>
      <c r="AA394">
        <v>0.02</v>
      </c>
      <c r="AB394">
        <v>10080</v>
      </c>
      <c r="AC394">
        <v>9878</v>
      </c>
      <c r="AD394">
        <v>79.2</v>
      </c>
      <c r="AE394">
        <v>1481.7</v>
      </c>
      <c r="AF394">
        <v>1482</v>
      </c>
      <c r="AG394">
        <v>3960</v>
      </c>
      <c r="AH394">
        <v>2954.3</v>
      </c>
      <c r="AI394" s="5">
        <v>0.29907876088277002</v>
      </c>
    </row>
    <row r="395" spans="14:35" x14ac:dyDescent="0.25">
      <c r="N395" t="s">
        <v>415</v>
      </c>
      <c r="O395" s="1">
        <v>46151.625</v>
      </c>
      <c r="P395" t="s">
        <v>389</v>
      </c>
      <c r="Q395" t="s">
        <v>155</v>
      </c>
      <c r="R395" t="s">
        <v>32</v>
      </c>
      <c r="S395">
        <v>26</v>
      </c>
      <c r="T395" t="s">
        <v>390</v>
      </c>
      <c r="U395">
        <v>280</v>
      </c>
      <c r="V395">
        <v>110</v>
      </c>
      <c r="W395">
        <v>2.2000000000000002</v>
      </c>
      <c r="X395" t="s">
        <v>156</v>
      </c>
      <c r="Y395">
        <v>12.5</v>
      </c>
      <c r="Z395">
        <v>0.15</v>
      </c>
      <c r="AA395">
        <v>0.05</v>
      </c>
      <c r="AB395">
        <v>7280</v>
      </c>
      <c r="AC395">
        <v>6916</v>
      </c>
      <c r="AD395">
        <v>57.2</v>
      </c>
      <c r="AE395">
        <v>1037.3999999999999</v>
      </c>
      <c r="AF395">
        <v>1037</v>
      </c>
      <c r="AG395">
        <v>2860</v>
      </c>
      <c r="AH395">
        <v>1981.6000000000004</v>
      </c>
      <c r="AI395" s="5">
        <v>0.28652400231347602</v>
      </c>
    </row>
    <row r="396" spans="14:35" x14ac:dyDescent="0.25">
      <c r="N396" t="s">
        <v>416</v>
      </c>
      <c r="O396" s="1">
        <v>46151.791666666664</v>
      </c>
      <c r="P396" t="s">
        <v>389</v>
      </c>
      <c r="Q396" t="s">
        <v>155</v>
      </c>
      <c r="R396" t="s">
        <v>32</v>
      </c>
      <c r="S396">
        <v>104</v>
      </c>
      <c r="T396" t="s">
        <v>390</v>
      </c>
      <c r="U396">
        <v>280</v>
      </c>
      <c r="V396">
        <v>110</v>
      </c>
      <c r="W396">
        <v>2.2000000000000002</v>
      </c>
      <c r="X396" t="s">
        <v>156</v>
      </c>
      <c r="Y396">
        <v>12.5</v>
      </c>
      <c r="Z396">
        <v>0.15</v>
      </c>
      <c r="AA396">
        <v>0.05</v>
      </c>
      <c r="AB396">
        <v>29120</v>
      </c>
      <c r="AC396">
        <v>27664</v>
      </c>
      <c r="AD396">
        <v>228.8</v>
      </c>
      <c r="AE396">
        <v>4149.5999999999995</v>
      </c>
      <c r="AF396">
        <v>4150</v>
      </c>
      <c r="AG396">
        <v>11440</v>
      </c>
      <c r="AH396">
        <v>7924.4000000000015</v>
      </c>
      <c r="AI396" s="5">
        <v>0.28645170618854798</v>
      </c>
    </row>
    <row r="397" spans="14:35" x14ac:dyDescent="0.25">
      <c r="N397" t="s">
        <v>417</v>
      </c>
      <c r="O397" s="1">
        <v>46152.666666666664</v>
      </c>
      <c r="P397" t="s">
        <v>389</v>
      </c>
      <c r="Q397" t="s">
        <v>155</v>
      </c>
      <c r="R397" t="s">
        <v>24</v>
      </c>
      <c r="S397">
        <v>113</v>
      </c>
      <c r="T397" t="s">
        <v>390</v>
      </c>
      <c r="U397">
        <v>280</v>
      </c>
      <c r="V397">
        <v>110</v>
      </c>
      <c r="W397">
        <v>2.2000000000000002</v>
      </c>
      <c r="X397" t="s">
        <v>156</v>
      </c>
      <c r="Y397">
        <v>12.5</v>
      </c>
      <c r="Z397">
        <v>0.15</v>
      </c>
      <c r="AA397">
        <v>0.02</v>
      </c>
      <c r="AB397">
        <v>31640</v>
      </c>
      <c r="AC397">
        <v>31007</v>
      </c>
      <c r="AD397">
        <v>248.60000000000002</v>
      </c>
      <c r="AE397">
        <v>4651.05</v>
      </c>
      <c r="AF397">
        <v>4651</v>
      </c>
      <c r="AG397">
        <v>12430</v>
      </c>
      <c r="AH397">
        <v>9274.9500000000007</v>
      </c>
      <c r="AI397" s="5">
        <v>0.29912439126648799</v>
      </c>
    </row>
    <row r="398" spans="14:35" x14ac:dyDescent="0.25">
      <c r="N398" t="s">
        <v>418</v>
      </c>
      <c r="O398" s="1">
        <v>46153.291666666664</v>
      </c>
      <c r="P398" t="s">
        <v>389</v>
      </c>
      <c r="Q398" t="s">
        <v>155</v>
      </c>
      <c r="R398" t="s">
        <v>29</v>
      </c>
      <c r="S398">
        <v>42</v>
      </c>
      <c r="T398" t="s">
        <v>390</v>
      </c>
      <c r="U398">
        <v>280</v>
      </c>
      <c r="V398">
        <v>110</v>
      </c>
      <c r="W398">
        <v>2.2000000000000002</v>
      </c>
      <c r="X398" t="s">
        <v>156</v>
      </c>
      <c r="Y398">
        <v>12.5</v>
      </c>
      <c r="Z398">
        <v>0.15</v>
      </c>
      <c r="AA398">
        <v>0.1</v>
      </c>
      <c r="AB398">
        <v>11760</v>
      </c>
      <c r="AC398">
        <v>10584</v>
      </c>
      <c r="AD398">
        <v>92.4</v>
      </c>
      <c r="AE398">
        <v>1587.6</v>
      </c>
      <c r="AF398">
        <v>1588</v>
      </c>
      <c r="AG398">
        <v>4620</v>
      </c>
      <c r="AH398">
        <v>2788.3999999999996</v>
      </c>
      <c r="AI398" s="5">
        <v>0.263454270597128</v>
      </c>
    </row>
    <row r="399" spans="14:35" x14ac:dyDescent="0.25">
      <c r="N399" t="s">
        <v>419</v>
      </c>
      <c r="O399" s="1">
        <v>46153.333333333336</v>
      </c>
      <c r="P399" t="s">
        <v>389</v>
      </c>
      <c r="Q399" t="s">
        <v>155</v>
      </c>
      <c r="R399" t="s">
        <v>29</v>
      </c>
      <c r="S399">
        <v>28</v>
      </c>
      <c r="T399" t="s">
        <v>390</v>
      </c>
      <c r="U399">
        <v>280</v>
      </c>
      <c r="V399">
        <v>110</v>
      </c>
      <c r="W399">
        <v>2.2000000000000002</v>
      </c>
      <c r="X399" t="s">
        <v>156</v>
      </c>
      <c r="Y399">
        <v>12.5</v>
      </c>
      <c r="Z399">
        <v>0.15</v>
      </c>
      <c r="AA399">
        <v>0.1</v>
      </c>
      <c r="AB399">
        <v>7840</v>
      </c>
      <c r="AC399">
        <v>7056</v>
      </c>
      <c r="AD399">
        <v>61.600000000000009</v>
      </c>
      <c r="AE399">
        <v>1058.3999999999999</v>
      </c>
      <c r="AF399">
        <v>1058</v>
      </c>
      <c r="AG399">
        <v>3080</v>
      </c>
      <c r="AH399">
        <v>1859.6000000000004</v>
      </c>
      <c r="AI399" s="5">
        <v>0.26354875283446699</v>
      </c>
    </row>
    <row r="400" spans="14:35" x14ac:dyDescent="0.25">
      <c r="N400" t="s">
        <v>420</v>
      </c>
      <c r="O400" s="1">
        <v>46154</v>
      </c>
      <c r="P400" t="s">
        <v>389</v>
      </c>
      <c r="Q400" t="s">
        <v>155</v>
      </c>
      <c r="R400" t="s">
        <v>24</v>
      </c>
      <c r="S400">
        <v>101</v>
      </c>
      <c r="T400" t="s">
        <v>390</v>
      </c>
      <c r="U400">
        <v>280</v>
      </c>
      <c r="V400">
        <v>110</v>
      </c>
      <c r="W400">
        <v>2.2000000000000002</v>
      </c>
      <c r="X400" t="s">
        <v>156</v>
      </c>
      <c r="Y400">
        <v>12.5</v>
      </c>
      <c r="Z400">
        <v>0.15</v>
      </c>
      <c r="AA400">
        <v>0.02</v>
      </c>
      <c r="AB400">
        <v>28280</v>
      </c>
      <c r="AC400">
        <v>27714</v>
      </c>
      <c r="AD400">
        <v>222.20000000000002</v>
      </c>
      <c r="AE400">
        <v>4157.0999999999995</v>
      </c>
      <c r="AF400">
        <v>4157</v>
      </c>
      <c r="AG400">
        <v>11110</v>
      </c>
      <c r="AH400">
        <v>8289.9000000000015</v>
      </c>
      <c r="AI400" s="5">
        <v>0.29912318683697797</v>
      </c>
    </row>
    <row r="401" spans="14:35" x14ac:dyDescent="0.25">
      <c r="N401" t="s">
        <v>421</v>
      </c>
      <c r="O401" s="1">
        <v>46154.208333333336</v>
      </c>
      <c r="P401" t="s">
        <v>389</v>
      </c>
      <c r="Q401" t="s">
        <v>155</v>
      </c>
      <c r="R401" t="s">
        <v>24</v>
      </c>
      <c r="S401">
        <v>156</v>
      </c>
      <c r="T401" t="s">
        <v>390</v>
      </c>
      <c r="U401">
        <v>280</v>
      </c>
      <c r="V401">
        <v>110</v>
      </c>
      <c r="W401">
        <v>2.2000000000000002</v>
      </c>
      <c r="X401" t="s">
        <v>156</v>
      </c>
      <c r="Y401">
        <v>12.5</v>
      </c>
      <c r="Z401">
        <v>0.15</v>
      </c>
      <c r="AA401">
        <v>0.02</v>
      </c>
      <c r="AB401">
        <v>43680</v>
      </c>
      <c r="AC401">
        <v>42806</v>
      </c>
      <c r="AD401">
        <v>343.20000000000005</v>
      </c>
      <c r="AE401">
        <v>6420.9</v>
      </c>
      <c r="AF401">
        <v>6421</v>
      </c>
      <c r="AG401">
        <v>17160</v>
      </c>
      <c r="AH401">
        <v>12804.099999999999</v>
      </c>
      <c r="AI401" s="5">
        <v>0.29911928234359703</v>
      </c>
    </row>
    <row r="402" spans="14:35" x14ac:dyDescent="0.25">
      <c r="N402" t="s">
        <v>422</v>
      </c>
      <c r="O402" s="1">
        <v>46154.291666666664</v>
      </c>
      <c r="P402" t="s">
        <v>389</v>
      </c>
      <c r="Q402" t="s">
        <v>155</v>
      </c>
      <c r="R402" t="s">
        <v>24</v>
      </c>
      <c r="S402">
        <v>67</v>
      </c>
      <c r="T402" t="s">
        <v>390</v>
      </c>
      <c r="U402">
        <v>280</v>
      </c>
      <c r="V402">
        <v>110</v>
      </c>
      <c r="W402">
        <v>2.2000000000000002</v>
      </c>
      <c r="X402" t="s">
        <v>156</v>
      </c>
      <c r="Y402">
        <v>12.5</v>
      </c>
      <c r="Z402">
        <v>0.15</v>
      </c>
      <c r="AA402">
        <v>0.02</v>
      </c>
      <c r="AB402">
        <v>18760</v>
      </c>
      <c r="AC402">
        <v>18385</v>
      </c>
      <c r="AD402">
        <v>147.4</v>
      </c>
      <c r="AE402">
        <v>2757.75</v>
      </c>
      <c r="AF402">
        <v>2758</v>
      </c>
      <c r="AG402">
        <v>7370</v>
      </c>
      <c r="AH402">
        <v>5499.25</v>
      </c>
      <c r="AI402" s="5">
        <v>0.29911612727767201</v>
      </c>
    </row>
    <row r="403" spans="14:35" x14ac:dyDescent="0.25">
      <c r="N403" t="s">
        <v>423</v>
      </c>
      <c r="O403" s="1">
        <v>46155.083333333336</v>
      </c>
      <c r="P403" t="s">
        <v>389</v>
      </c>
      <c r="Q403" t="s">
        <v>155</v>
      </c>
      <c r="R403" t="s">
        <v>32</v>
      </c>
      <c r="S403">
        <v>160</v>
      </c>
      <c r="T403" t="s">
        <v>390</v>
      </c>
      <c r="U403">
        <v>280</v>
      </c>
      <c r="V403">
        <v>110</v>
      </c>
      <c r="W403">
        <v>2.2000000000000002</v>
      </c>
      <c r="X403" t="s">
        <v>156</v>
      </c>
      <c r="Y403">
        <v>12.5</v>
      </c>
      <c r="Z403">
        <v>0.15</v>
      </c>
      <c r="AA403">
        <v>0.05</v>
      </c>
      <c r="AB403">
        <v>44800</v>
      </c>
      <c r="AC403">
        <v>42560</v>
      </c>
      <c r="AD403">
        <v>352</v>
      </c>
      <c r="AE403">
        <v>6384</v>
      </c>
      <c r="AF403">
        <v>6384</v>
      </c>
      <c r="AG403">
        <v>17600</v>
      </c>
      <c r="AH403">
        <v>12192</v>
      </c>
      <c r="AI403" s="5">
        <v>0.28646616541353398</v>
      </c>
    </row>
    <row r="404" spans="14:35" x14ac:dyDescent="0.25">
      <c r="N404" t="s">
        <v>424</v>
      </c>
      <c r="O404" s="1">
        <v>46155.125</v>
      </c>
      <c r="P404" t="s">
        <v>389</v>
      </c>
      <c r="Q404" t="s">
        <v>155</v>
      </c>
      <c r="R404" t="s">
        <v>32</v>
      </c>
      <c r="S404">
        <v>63</v>
      </c>
      <c r="T404" t="s">
        <v>390</v>
      </c>
      <c r="U404">
        <v>280</v>
      </c>
      <c r="V404">
        <v>110</v>
      </c>
      <c r="W404">
        <v>2.2000000000000002</v>
      </c>
      <c r="X404" t="s">
        <v>156</v>
      </c>
      <c r="Y404">
        <v>12.5</v>
      </c>
      <c r="Z404">
        <v>0.15</v>
      </c>
      <c r="AA404">
        <v>0.05</v>
      </c>
      <c r="AB404">
        <v>17640</v>
      </c>
      <c r="AC404">
        <v>16758</v>
      </c>
      <c r="AD404">
        <v>138.60000000000002</v>
      </c>
      <c r="AE404">
        <v>2513.6999999999998</v>
      </c>
      <c r="AF404">
        <v>2514</v>
      </c>
      <c r="AG404">
        <v>6930</v>
      </c>
      <c r="AH404">
        <v>4800.2999999999993</v>
      </c>
      <c r="AI404" s="5">
        <v>0.286448263515933</v>
      </c>
    </row>
    <row r="405" spans="14:35" x14ac:dyDescent="0.25">
      <c r="N405" t="s">
        <v>425</v>
      </c>
      <c r="O405" s="1">
        <v>46155.375</v>
      </c>
      <c r="P405" t="s">
        <v>389</v>
      </c>
      <c r="Q405" t="s">
        <v>155</v>
      </c>
      <c r="R405" t="s">
        <v>32</v>
      </c>
      <c r="S405">
        <v>52</v>
      </c>
      <c r="T405" t="s">
        <v>390</v>
      </c>
      <c r="U405">
        <v>280</v>
      </c>
      <c r="V405">
        <v>110</v>
      </c>
      <c r="W405">
        <v>2.2000000000000002</v>
      </c>
      <c r="X405" t="s">
        <v>156</v>
      </c>
      <c r="Y405">
        <v>12.5</v>
      </c>
      <c r="Z405">
        <v>0.15</v>
      </c>
      <c r="AA405">
        <v>0.05</v>
      </c>
      <c r="AB405">
        <v>14560</v>
      </c>
      <c r="AC405">
        <v>13832</v>
      </c>
      <c r="AD405">
        <v>114.4</v>
      </c>
      <c r="AE405">
        <v>2074.7999999999997</v>
      </c>
      <c r="AF405">
        <v>2075</v>
      </c>
      <c r="AG405">
        <v>5720</v>
      </c>
      <c r="AH405">
        <v>3962.2000000000007</v>
      </c>
      <c r="AI405" s="5">
        <v>0.28645170618854798</v>
      </c>
    </row>
    <row r="406" spans="14:35" x14ac:dyDescent="0.25">
      <c r="N406" t="s">
        <v>426</v>
      </c>
      <c r="O406" s="1">
        <v>46155.666666666664</v>
      </c>
      <c r="P406" t="s">
        <v>389</v>
      </c>
      <c r="Q406" t="s">
        <v>155</v>
      </c>
      <c r="R406" t="s">
        <v>32</v>
      </c>
      <c r="S406">
        <v>137</v>
      </c>
      <c r="T406" t="s">
        <v>390</v>
      </c>
      <c r="U406">
        <v>280</v>
      </c>
      <c r="V406">
        <v>110</v>
      </c>
      <c r="W406">
        <v>2.2000000000000002</v>
      </c>
      <c r="X406" t="s">
        <v>156</v>
      </c>
      <c r="Y406">
        <v>12.5</v>
      </c>
      <c r="Z406">
        <v>0.15</v>
      </c>
      <c r="AA406">
        <v>0.05</v>
      </c>
      <c r="AB406">
        <v>38360</v>
      </c>
      <c r="AC406">
        <v>36442</v>
      </c>
      <c r="AD406">
        <v>301.40000000000003</v>
      </c>
      <c r="AE406">
        <v>5466.3</v>
      </c>
      <c r="AF406">
        <v>5466</v>
      </c>
      <c r="AG406">
        <v>15070</v>
      </c>
      <c r="AH406">
        <v>10439.700000000001</v>
      </c>
      <c r="AI406" s="5">
        <v>0.28647439767301502</v>
      </c>
    </row>
    <row r="407" spans="14:35" x14ac:dyDescent="0.25">
      <c r="N407" t="s">
        <v>427</v>
      </c>
      <c r="O407" s="1">
        <v>46156.166666666664</v>
      </c>
      <c r="P407" t="s">
        <v>389</v>
      </c>
      <c r="Q407" t="s">
        <v>155</v>
      </c>
      <c r="R407" t="s">
        <v>24</v>
      </c>
      <c r="S407">
        <v>133</v>
      </c>
      <c r="T407" t="s">
        <v>390</v>
      </c>
      <c r="U407">
        <v>280</v>
      </c>
      <c r="V407">
        <v>110</v>
      </c>
      <c r="W407">
        <v>2.2000000000000002</v>
      </c>
      <c r="X407" t="s">
        <v>156</v>
      </c>
      <c r="Y407">
        <v>12.5</v>
      </c>
      <c r="Z407">
        <v>0.15</v>
      </c>
      <c r="AA407">
        <v>0.02</v>
      </c>
      <c r="AB407">
        <v>37240</v>
      </c>
      <c r="AC407">
        <v>36495</v>
      </c>
      <c r="AD407">
        <v>292.60000000000002</v>
      </c>
      <c r="AE407">
        <v>5474.25</v>
      </c>
      <c r="AF407">
        <v>5474</v>
      </c>
      <c r="AG407">
        <v>14630</v>
      </c>
      <c r="AH407">
        <v>10916.75</v>
      </c>
      <c r="AI407" s="5">
        <v>0.29913001781065901</v>
      </c>
    </row>
    <row r="408" spans="14:35" x14ac:dyDescent="0.25">
      <c r="N408" t="s">
        <v>428</v>
      </c>
      <c r="O408" s="1">
        <v>46156.375</v>
      </c>
      <c r="P408" t="s">
        <v>389</v>
      </c>
      <c r="Q408" t="s">
        <v>155</v>
      </c>
      <c r="R408" t="s">
        <v>32</v>
      </c>
      <c r="S408">
        <v>173</v>
      </c>
      <c r="T408" t="s">
        <v>390</v>
      </c>
      <c r="U408">
        <v>280</v>
      </c>
      <c r="V408">
        <v>110</v>
      </c>
      <c r="W408">
        <v>2.2000000000000002</v>
      </c>
      <c r="X408" t="s">
        <v>156</v>
      </c>
      <c r="Y408">
        <v>12.5</v>
      </c>
      <c r="Z408">
        <v>0.15</v>
      </c>
      <c r="AA408">
        <v>0.05</v>
      </c>
      <c r="AB408">
        <v>48440</v>
      </c>
      <c r="AC408">
        <v>46018</v>
      </c>
      <c r="AD408">
        <v>380.6</v>
      </c>
      <c r="AE408">
        <v>6902.7</v>
      </c>
      <c r="AF408">
        <v>6903</v>
      </c>
      <c r="AG408">
        <v>19030</v>
      </c>
      <c r="AH408">
        <v>13182.300000000003</v>
      </c>
      <c r="AI408" s="5">
        <v>0.28645964622539</v>
      </c>
    </row>
    <row r="409" spans="14:35" x14ac:dyDescent="0.25">
      <c r="N409" t="s">
        <v>429</v>
      </c>
      <c r="O409" s="1">
        <v>46156.5</v>
      </c>
      <c r="P409" t="s">
        <v>389</v>
      </c>
      <c r="Q409" t="s">
        <v>155</v>
      </c>
      <c r="R409" t="s">
        <v>32</v>
      </c>
      <c r="S409">
        <v>199</v>
      </c>
      <c r="T409" t="s">
        <v>390</v>
      </c>
      <c r="U409">
        <v>280</v>
      </c>
      <c r="V409">
        <v>110</v>
      </c>
      <c r="W409">
        <v>2.2000000000000002</v>
      </c>
      <c r="X409" t="s">
        <v>156</v>
      </c>
      <c r="Y409">
        <v>12.5</v>
      </c>
      <c r="Z409">
        <v>0.15</v>
      </c>
      <c r="AA409">
        <v>0.05</v>
      </c>
      <c r="AB409">
        <v>55720</v>
      </c>
      <c r="AC409">
        <v>52934</v>
      </c>
      <c r="AD409">
        <v>437.8</v>
      </c>
      <c r="AE409">
        <v>7940.0999999999995</v>
      </c>
      <c r="AF409">
        <v>7940</v>
      </c>
      <c r="AG409">
        <v>21890</v>
      </c>
      <c r="AH409">
        <v>15163.900000000001</v>
      </c>
      <c r="AI409" s="5">
        <v>0.28646805455850699</v>
      </c>
    </row>
    <row r="410" spans="14:35" x14ac:dyDescent="0.25">
      <c r="N410" t="s">
        <v>430</v>
      </c>
      <c r="O410" s="1">
        <v>46157.875</v>
      </c>
      <c r="P410" t="s">
        <v>389</v>
      </c>
      <c r="Q410" t="s">
        <v>155</v>
      </c>
      <c r="R410" t="s">
        <v>24</v>
      </c>
      <c r="S410">
        <v>165</v>
      </c>
      <c r="T410" t="s">
        <v>390</v>
      </c>
      <c r="U410">
        <v>280</v>
      </c>
      <c r="V410">
        <v>110</v>
      </c>
      <c r="W410">
        <v>2.2000000000000002</v>
      </c>
      <c r="X410" t="s">
        <v>156</v>
      </c>
      <c r="Y410">
        <v>12.5</v>
      </c>
      <c r="Z410">
        <v>0.15</v>
      </c>
      <c r="AA410">
        <v>0.02</v>
      </c>
      <c r="AB410">
        <v>46200</v>
      </c>
      <c r="AC410">
        <v>45276</v>
      </c>
      <c r="AD410">
        <v>363.00000000000006</v>
      </c>
      <c r="AE410">
        <v>6791.4</v>
      </c>
      <c r="AF410">
        <v>6791</v>
      </c>
      <c r="AG410">
        <v>18150</v>
      </c>
      <c r="AH410">
        <v>13543.599999999999</v>
      </c>
      <c r="AI410" s="5">
        <v>0.29913419913419897</v>
      </c>
    </row>
    <row r="411" spans="14:35" x14ac:dyDescent="0.25">
      <c r="N411" t="s">
        <v>431</v>
      </c>
      <c r="O411" s="1">
        <v>46158.041666666664</v>
      </c>
      <c r="P411" t="s">
        <v>389</v>
      </c>
      <c r="Q411" t="s">
        <v>155</v>
      </c>
      <c r="R411" t="s">
        <v>32</v>
      </c>
      <c r="S411">
        <v>45</v>
      </c>
      <c r="T411" t="s">
        <v>390</v>
      </c>
      <c r="U411">
        <v>280</v>
      </c>
      <c r="V411">
        <v>110</v>
      </c>
      <c r="W411">
        <v>2.2000000000000002</v>
      </c>
      <c r="X411" t="s">
        <v>156</v>
      </c>
      <c r="Y411">
        <v>12.5</v>
      </c>
      <c r="Z411">
        <v>0.15</v>
      </c>
      <c r="AA411">
        <v>0.05</v>
      </c>
      <c r="AB411">
        <v>12600</v>
      </c>
      <c r="AC411">
        <v>11970</v>
      </c>
      <c r="AD411">
        <v>99.000000000000014</v>
      </c>
      <c r="AE411">
        <v>1795.5</v>
      </c>
      <c r="AF411">
        <v>1796</v>
      </c>
      <c r="AG411">
        <v>4950</v>
      </c>
      <c r="AH411">
        <v>3428.5</v>
      </c>
      <c r="AI411" s="5">
        <v>0.28642439431913103</v>
      </c>
    </row>
    <row r="412" spans="14:35" x14ac:dyDescent="0.25">
      <c r="N412" t="s">
        <v>432</v>
      </c>
      <c r="O412" s="1">
        <v>46158.083333333336</v>
      </c>
      <c r="P412" t="s">
        <v>389</v>
      </c>
      <c r="Q412" t="s">
        <v>155</v>
      </c>
      <c r="R412" t="s">
        <v>29</v>
      </c>
      <c r="S412">
        <v>115</v>
      </c>
      <c r="T412" t="s">
        <v>390</v>
      </c>
      <c r="U412">
        <v>280</v>
      </c>
      <c r="V412">
        <v>110</v>
      </c>
      <c r="W412">
        <v>2.2000000000000002</v>
      </c>
      <c r="X412" t="s">
        <v>156</v>
      </c>
      <c r="Y412">
        <v>12.5</v>
      </c>
      <c r="Z412">
        <v>0.15</v>
      </c>
      <c r="AA412">
        <v>0.1</v>
      </c>
      <c r="AB412">
        <v>32200</v>
      </c>
      <c r="AC412">
        <v>28980</v>
      </c>
      <c r="AD412">
        <v>253.00000000000003</v>
      </c>
      <c r="AE412">
        <v>4347</v>
      </c>
      <c r="AF412">
        <v>4347</v>
      </c>
      <c r="AG412">
        <v>12650</v>
      </c>
      <c r="AH412">
        <v>7636</v>
      </c>
      <c r="AI412" s="5">
        <v>0.263492063492064</v>
      </c>
    </row>
    <row r="413" spans="14:35" x14ac:dyDescent="0.25">
      <c r="N413" t="s">
        <v>433</v>
      </c>
      <c r="O413" s="1">
        <v>46158.625</v>
      </c>
      <c r="P413" t="s">
        <v>389</v>
      </c>
      <c r="Q413" t="s">
        <v>155</v>
      </c>
      <c r="R413" t="s">
        <v>32</v>
      </c>
      <c r="S413">
        <v>85</v>
      </c>
      <c r="T413" t="s">
        <v>390</v>
      </c>
      <c r="U413">
        <v>280</v>
      </c>
      <c r="V413">
        <v>110</v>
      </c>
      <c r="W413">
        <v>2.2000000000000002</v>
      </c>
      <c r="X413" t="s">
        <v>156</v>
      </c>
      <c r="Y413">
        <v>12.5</v>
      </c>
      <c r="Z413">
        <v>0.15</v>
      </c>
      <c r="AA413">
        <v>0.05</v>
      </c>
      <c r="AB413">
        <v>23800</v>
      </c>
      <c r="AC413">
        <v>22610</v>
      </c>
      <c r="AD413">
        <v>187.00000000000003</v>
      </c>
      <c r="AE413">
        <v>3391.5</v>
      </c>
      <c r="AF413">
        <v>3392</v>
      </c>
      <c r="AG413">
        <v>9350</v>
      </c>
      <c r="AH413">
        <v>6476.5</v>
      </c>
      <c r="AI413" s="5">
        <v>0.28644405130473199</v>
      </c>
    </row>
    <row r="414" spans="14:35" x14ac:dyDescent="0.25">
      <c r="N414" t="s">
        <v>434</v>
      </c>
      <c r="O414" s="1">
        <v>46159.375</v>
      </c>
      <c r="P414" t="s">
        <v>389</v>
      </c>
      <c r="Q414" t="s">
        <v>155</v>
      </c>
      <c r="R414" t="s">
        <v>29</v>
      </c>
      <c r="S414">
        <v>90</v>
      </c>
      <c r="T414" t="s">
        <v>390</v>
      </c>
      <c r="U414">
        <v>280</v>
      </c>
      <c r="V414">
        <v>110</v>
      </c>
      <c r="W414">
        <v>2.2000000000000002</v>
      </c>
      <c r="X414" t="s">
        <v>156</v>
      </c>
      <c r="Y414">
        <v>12.5</v>
      </c>
      <c r="Z414">
        <v>0.15</v>
      </c>
      <c r="AA414">
        <v>0.1</v>
      </c>
      <c r="AB414">
        <v>25200</v>
      </c>
      <c r="AC414">
        <v>22680</v>
      </c>
      <c r="AD414">
        <v>198.00000000000003</v>
      </c>
      <c r="AE414">
        <v>3402</v>
      </c>
      <c r="AF414">
        <v>3402</v>
      </c>
      <c r="AG414">
        <v>9900</v>
      </c>
      <c r="AH414">
        <v>5976</v>
      </c>
      <c r="AI414" s="5">
        <v>0.263492063492064</v>
      </c>
    </row>
    <row r="415" spans="14:35" x14ac:dyDescent="0.25">
      <c r="N415" t="s">
        <v>435</v>
      </c>
      <c r="O415" s="1">
        <v>46159.875</v>
      </c>
      <c r="P415" t="s">
        <v>389</v>
      </c>
      <c r="Q415" t="s">
        <v>155</v>
      </c>
      <c r="R415" t="s">
        <v>29</v>
      </c>
      <c r="S415">
        <v>151</v>
      </c>
      <c r="T415" t="s">
        <v>390</v>
      </c>
      <c r="U415">
        <v>280</v>
      </c>
      <c r="V415">
        <v>110</v>
      </c>
      <c r="W415">
        <v>2.2000000000000002</v>
      </c>
      <c r="X415" t="s">
        <v>156</v>
      </c>
      <c r="Y415">
        <v>12.5</v>
      </c>
      <c r="Z415">
        <v>0.15</v>
      </c>
      <c r="AA415">
        <v>0.1</v>
      </c>
      <c r="AB415">
        <v>42280</v>
      </c>
      <c r="AC415">
        <v>38052</v>
      </c>
      <c r="AD415">
        <v>332.20000000000005</v>
      </c>
      <c r="AE415">
        <v>5707.8</v>
      </c>
      <c r="AF415">
        <v>5708</v>
      </c>
      <c r="AG415">
        <v>16610</v>
      </c>
      <c r="AH415">
        <v>10026.200000000001</v>
      </c>
      <c r="AI415" s="5">
        <v>0.26348680752654302</v>
      </c>
    </row>
    <row r="416" spans="14:35" x14ac:dyDescent="0.25">
      <c r="N416" t="s">
        <v>436</v>
      </c>
      <c r="O416" s="1">
        <v>46160.5</v>
      </c>
      <c r="P416" t="s">
        <v>389</v>
      </c>
      <c r="Q416" t="s">
        <v>155</v>
      </c>
      <c r="R416" t="s">
        <v>29</v>
      </c>
      <c r="S416">
        <v>54</v>
      </c>
      <c r="T416" t="s">
        <v>390</v>
      </c>
      <c r="U416">
        <v>280</v>
      </c>
      <c r="V416">
        <v>110</v>
      </c>
      <c r="W416">
        <v>2.2000000000000002</v>
      </c>
      <c r="X416" t="s">
        <v>156</v>
      </c>
      <c r="Y416">
        <v>12.5</v>
      </c>
      <c r="Z416">
        <v>0.15</v>
      </c>
      <c r="AA416">
        <v>0.1</v>
      </c>
      <c r="AB416">
        <v>15120</v>
      </c>
      <c r="AC416">
        <v>13608</v>
      </c>
      <c r="AD416">
        <v>118.80000000000001</v>
      </c>
      <c r="AE416">
        <v>2041.1999999999998</v>
      </c>
      <c r="AF416">
        <v>2041</v>
      </c>
      <c r="AG416">
        <v>5940</v>
      </c>
      <c r="AH416">
        <v>3585.7999999999993</v>
      </c>
      <c r="AI416" s="5">
        <v>0.26350676072898299</v>
      </c>
    </row>
    <row r="417" spans="14:35" x14ac:dyDescent="0.25">
      <c r="N417" t="s">
        <v>437</v>
      </c>
      <c r="O417" s="1">
        <v>46160.625</v>
      </c>
      <c r="P417" t="s">
        <v>389</v>
      </c>
      <c r="Q417" t="s">
        <v>155</v>
      </c>
      <c r="R417" t="s">
        <v>24</v>
      </c>
      <c r="S417">
        <v>70</v>
      </c>
      <c r="T417" t="s">
        <v>390</v>
      </c>
      <c r="U417">
        <v>280</v>
      </c>
      <c r="V417">
        <v>110</v>
      </c>
      <c r="W417">
        <v>2.2000000000000002</v>
      </c>
      <c r="X417" t="s">
        <v>156</v>
      </c>
      <c r="Y417">
        <v>12.5</v>
      </c>
      <c r="Z417">
        <v>0.15</v>
      </c>
      <c r="AA417">
        <v>0.02</v>
      </c>
      <c r="AB417">
        <v>19600</v>
      </c>
      <c r="AC417">
        <v>19208</v>
      </c>
      <c r="AD417">
        <v>154</v>
      </c>
      <c r="AE417">
        <v>2881.2</v>
      </c>
      <c r="AF417">
        <v>2881</v>
      </c>
      <c r="AG417">
        <v>7700</v>
      </c>
      <c r="AH417">
        <v>5745.7999999999993</v>
      </c>
      <c r="AI417" s="5">
        <v>0.299135776759683</v>
      </c>
    </row>
    <row r="418" spans="14:35" x14ac:dyDescent="0.25">
      <c r="N418" t="s">
        <v>438</v>
      </c>
      <c r="O418" s="1">
        <v>46161.375</v>
      </c>
      <c r="P418" t="s">
        <v>389</v>
      </c>
      <c r="Q418" t="s">
        <v>155</v>
      </c>
      <c r="R418" t="s">
        <v>29</v>
      </c>
      <c r="S418">
        <v>166</v>
      </c>
      <c r="T418" t="s">
        <v>390</v>
      </c>
      <c r="U418">
        <v>280</v>
      </c>
      <c r="V418">
        <v>110</v>
      </c>
      <c r="W418">
        <v>2.2000000000000002</v>
      </c>
      <c r="X418" t="s">
        <v>156</v>
      </c>
      <c r="Y418">
        <v>12.5</v>
      </c>
      <c r="Z418">
        <v>0.15</v>
      </c>
      <c r="AA418">
        <v>0.1</v>
      </c>
      <c r="AB418">
        <v>46480</v>
      </c>
      <c r="AC418">
        <v>41832</v>
      </c>
      <c r="AD418">
        <v>365.20000000000005</v>
      </c>
      <c r="AE418">
        <v>6274.8</v>
      </c>
      <c r="AF418">
        <v>6275</v>
      </c>
      <c r="AG418">
        <v>18260</v>
      </c>
      <c r="AH418">
        <v>11022.2</v>
      </c>
      <c r="AI418" s="5">
        <v>0.26348728246318598</v>
      </c>
    </row>
    <row r="419" spans="14:35" x14ac:dyDescent="0.25">
      <c r="N419" t="s">
        <v>439</v>
      </c>
      <c r="O419" s="1">
        <v>46162.708333333336</v>
      </c>
      <c r="P419" t="s">
        <v>389</v>
      </c>
      <c r="Q419" t="s">
        <v>155</v>
      </c>
      <c r="R419" t="s">
        <v>24</v>
      </c>
      <c r="S419">
        <v>88</v>
      </c>
      <c r="T419" t="s">
        <v>390</v>
      </c>
      <c r="U419">
        <v>280</v>
      </c>
      <c r="V419">
        <v>110</v>
      </c>
      <c r="W419">
        <v>2.2000000000000002</v>
      </c>
      <c r="X419" t="s">
        <v>156</v>
      </c>
      <c r="Y419">
        <v>12.5</v>
      </c>
      <c r="Z419">
        <v>0.15</v>
      </c>
      <c r="AA419">
        <v>0.02</v>
      </c>
      <c r="AB419">
        <v>24640</v>
      </c>
      <c r="AC419">
        <v>24147</v>
      </c>
      <c r="AD419">
        <v>193.60000000000002</v>
      </c>
      <c r="AE419">
        <v>3622.0499999999997</v>
      </c>
      <c r="AF419">
        <v>3622</v>
      </c>
      <c r="AG419">
        <v>9680</v>
      </c>
      <c r="AH419">
        <v>7222.9500000000007</v>
      </c>
      <c r="AI419" s="5">
        <v>0.29912411479686901</v>
      </c>
    </row>
    <row r="420" spans="14:35" x14ac:dyDescent="0.25">
      <c r="N420" t="s">
        <v>440</v>
      </c>
      <c r="O420" s="1">
        <v>46163</v>
      </c>
      <c r="P420" t="s">
        <v>389</v>
      </c>
      <c r="Q420" t="s">
        <v>155</v>
      </c>
      <c r="R420" t="s">
        <v>32</v>
      </c>
      <c r="S420">
        <v>126</v>
      </c>
      <c r="T420" t="s">
        <v>390</v>
      </c>
      <c r="U420">
        <v>280</v>
      </c>
      <c r="V420">
        <v>110</v>
      </c>
      <c r="W420">
        <v>2.2000000000000002</v>
      </c>
      <c r="X420" t="s">
        <v>156</v>
      </c>
      <c r="Y420">
        <v>12.5</v>
      </c>
      <c r="Z420">
        <v>0.15</v>
      </c>
      <c r="AA420">
        <v>0.05</v>
      </c>
      <c r="AB420">
        <v>35280</v>
      </c>
      <c r="AC420">
        <v>33516</v>
      </c>
      <c r="AD420">
        <v>277.20000000000005</v>
      </c>
      <c r="AE420">
        <v>5027.3999999999996</v>
      </c>
      <c r="AF420">
        <v>5027</v>
      </c>
      <c r="AG420">
        <v>13860</v>
      </c>
      <c r="AH420">
        <v>9601.5999999999985</v>
      </c>
      <c r="AI420" s="5">
        <v>0.28647810001193502</v>
      </c>
    </row>
    <row r="421" spans="14:35" x14ac:dyDescent="0.25">
      <c r="N421" t="s">
        <v>441</v>
      </c>
      <c r="O421" s="1">
        <v>46163.833333333336</v>
      </c>
      <c r="P421" t="s">
        <v>389</v>
      </c>
      <c r="Q421" t="s">
        <v>155</v>
      </c>
      <c r="R421" t="s">
        <v>29</v>
      </c>
      <c r="S421">
        <v>198</v>
      </c>
      <c r="T421" t="s">
        <v>390</v>
      </c>
      <c r="U421">
        <v>280</v>
      </c>
      <c r="V421">
        <v>110</v>
      </c>
      <c r="W421">
        <v>2.2000000000000002</v>
      </c>
      <c r="X421" t="s">
        <v>156</v>
      </c>
      <c r="Y421">
        <v>12.5</v>
      </c>
      <c r="Z421">
        <v>0.15</v>
      </c>
      <c r="AA421">
        <v>0.1</v>
      </c>
      <c r="AB421">
        <v>55440</v>
      </c>
      <c r="AC421">
        <v>49896</v>
      </c>
      <c r="AD421">
        <v>435.6</v>
      </c>
      <c r="AE421">
        <v>7484.4</v>
      </c>
      <c r="AF421">
        <v>7484</v>
      </c>
      <c r="AG421">
        <v>21780</v>
      </c>
      <c r="AH421">
        <v>13147.599999999999</v>
      </c>
      <c r="AI421" s="5">
        <v>0.26350008016674697</v>
      </c>
    </row>
    <row r="422" spans="14:35" x14ac:dyDescent="0.25">
      <c r="N422" t="s">
        <v>442</v>
      </c>
      <c r="O422" s="1">
        <v>46164.916666666664</v>
      </c>
      <c r="P422" t="s">
        <v>389</v>
      </c>
      <c r="Q422" t="s">
        <v>155</v>
      </c>
      <c r="R422" t="s">
        <v>32</v>
      </c>
      <c r="S422">
        <v>138</v>
      </c>
      <c r="T422" t="s">
        <v>390</v>
      </c>
      <c r="U422">
        <v>280</v>
      </c>
      <c r="V422">
        <v>110</v>
      </c>
      <c r="W422">
        <v>2.2000000000000002</v>
      </c>
      <c r="X422" t="s">
        <v>156</v>
      </c>
      <c r="Y422">
        <v>12.5</v>
      </c>
      <c r="Z422">
        <v>0.15</v>
      </c>
      <c r="AA422">
        <v>0.05</v>
      </c>
      <c r="AB422">
        <v>38640</v>
      </c>
      <c r="AC422">
        <v>36708</v>
      </c>
      <c r="AD422">
        <v>303.60000000000002</v>
      </c>
      <c r="AE422">
        <v>5506.2</v>
      </c>
      <c r="AF422">
        <v>5506</v>
      </c>
      <c r="AG422">
        <v>15180</v>
      </c>
      <c r="AH422">
        <v>10515.8</v>
      </c>
      <c r="AI422" s="5">
        <v>0.28647161381715203</v>
      </c>
    </row>
    <row r="423" spans="14:35" x14ac:dyDescent="0.25">
      <c r="N423" t="s">
        <v>443</v>
      </c>
      <c r="O423" s="1">
        <v>46165.166666666664</v>
      </c>
      <c r="P423" t="s">
        <v>389</v>
      </c>
      <c r="Q423" t="s">
        <v>155</v>
      </c>
      <c r="R423" t="s">
        <v>29</v>
      </c>
      <c r="S423">
        <v>187</v>
      </c>
      <c r="T423" t="s">
        <v>390</v>
      </c>
      <c r="U423">
        <v>280</v>
      </c>
      <c r="V423">
        <v>110</v>
      </c>
      <c r="W423">
        <v>2.2000000000000002</v>
      </c>
      <c r="X423" t="s">
        <v>156</v>
      </c>
      <c r="Y423">
        <v>12.5</v>
      </c>
      <c r="Z423">
        <v>0.15</v>
      </c>
      <c r="AA423">
        <v>0.1</v>
      </c>
      <c r="AB423">
        <v>52360</v>
      </c>
      <c r="AC423">
        <v>47124</v>
      </c>
      <c r="AD423">
        <v>411.40000000000003</v>
      </c>
      <c r="AE423">
        <v>7068.5999999999995</v>
      </c>
      <c r="AF423">
        <v>7069</v>
      </c>
      <c r="AG423">
        <v>20570</v>
      </c>
      <c r="AH423">
        <v>12416.400000000001</v>
      </c>
      <c r="AI423" s="5">
        <v>0.26348357524828098</v>
      </c>
    </row>
    <row r="424" spans="14:35" x14ac:dyDescent="0.25">
      <c r="N424" t="s">
        <v>444</v>
      </c>
      <c r="O424" s="1">
        <v>46165.291666666664</v>
      </c>
      <c r="P424" t="s">
        <v>389</v>
      </c>
      <c r="Q424" t="s">
        <v>155</v>
      </c>
      <c r="R424" t="s">
        <v>29</v>
      </c>
      <c r="S424">
        <v>47</v>
      </c>
      <c r="T424" t="s">
        <v>390</v>
      </c>
      <c r="U424">
        <v>280</v>
      </c>
      <c r="V424">
        <v>110</v>
      </c>
      <c r="W424">
        <v>2.2000000000000002</v>
      </c>
      <c r="X424" t="s">
        <v>156</v>
      </c>
      <c r="Y424">
        <v>12.5</v>
      </c>
      <c r="Z424">
        <v>0.15</v>
      </c>
      <c r="AA424">
        <v>0.1</v>
      </c>
      <c r="AB424">
        <v>13160</v>
      </c>
      <c r="AC424">
        <v>11844</v>
      </c>
      <c r="AD424">
        <v>103.4</v>
      </c>
      <c r="AE424">
        <v>1776.6</v>
      </c>
      <c r="AF424">
        <v>1777</v>
      </c>
      <c r="AG424">
        <v>5170</v>
      </c>
      <c r="AH424">
        <v>3120.3999999999996</v>
      </c>
      <c r="AI424" s="5">
        <v>0.26345829111786601</v>
      </c>
    </row>
    <row r="425" spans="14:35" x14ac:dyDescent="0.25">
      <c r="N425" t="s">
        <v>445</v>
      </c>
      <c r="O425" s="1">
        <v>46165.416666666664</v>
      </c>
      <c r="P425" t="s">
        <v>389</v>
      </c>
      <c r="Q425" t="s">
        <v>155</v>
      </c>
      <c r="R425" t="s">
        <v>29</v>
      </c>
      <c r="S425">
        <v>169</v>
      </c>
      <c r="T425" t="s">
        <v>390</v>
      </c>
      <c r="U425">
        <v>280</v>
      </c>
      <c r="V425">
        <v>110</v>
      </c>
      <c r="W425">
        <v>2.2000000000000002</v>
      </c>
      <c r="X425" t="s">
        <v>156</v>
      </c>
      <c r="Y425">
        <v>12.5</v>
      </c>
      <c r="Z425">
        <v>0.15</v>
      </c>
      <c r="AA425">
        <v>0.1</v>
      </c>
      <c r="AB425">
        <v>47320</v>
      </c>
      <c r="AC425">
        <v>42588</v>
      </c>
      <c r="AD425">
        <v>371.8</v>
      </c>
      <c r="AE425">
        <v>6388.2</v>
      </c>
      <c r="AF425">
        <v>6388</v>
      </c>
      <c r="AG425">
        <v>18590</v>
      </c>
      <c r="AH425">
        <v>11221.8</v>
      </c>
      <c r="AI425" s="5">
        <v>0.26349675965060598</v>
      </c>
    </row>
    <row r="426" spans="14:35" x14ac:dyDescent="0.25">
      <c r="N426" t="s">
        <v>446</v>
      </c>
      <c r="O426" s="1">
        <v>46165.5</v>
      </c>
      <c r="P426" t="s">
        <v>389</v>
      </c>
      <c r="Q426" t="s">
        <v>155</v>
      </c>
      <c r="R426" t="s">
        <v>29</v>
      </c>
      <c r="S426">
        <v>10</v>
      </c>
      <c r="T426" t="s">
        <v>390</v>
      </c>
      <c r="U426">
        <v>280</v>
      </c>
      <c r="V426">
        <v>110</v>
      </c>
      <c r="W426">
        <v>2.2000000000000002</v>
      </c>
      <c r="X426" t="s">
        <v>156</v>
      </c>
      <c r="Y426">
        <v>12.5</v>
      </c>
      <c r="Z426">
        <v>0.15</v>
      </c>
      <c r="AA426">
        <v>0.1</v>
      </c>
      <c r="AB426">
        <v>2800</v>
      </c>
      <c r="AC426">
        <v>2520</v>
      </c>
      <c r="AD426">
        <v>22</v>
      </c>
      <c r="AE426">
        <v>378</v>
      </c>
      <c r="AF426">
        <v>378</v>
      </c>
      <c r="AG426">
        <v>1100</v>
      </c>
      <c r="AH426">
        <v>664</v>
      </c>
      <c r="AI426" s="5">
        <v>0.263492063492064</v>
      </c>
    </row>
    <row r="427" spans="14:35" x14ac:dyDescent="0.25">
      <c r="N427" t="s">
        <v>447</v>
      </c>
      <c r="O427" s="1">
        <v>46165.583333333336</v>
      </c>
      <c r="P427" t="s">
        <v>389</v>
      </c>
      <c r="Q427" t="s">
        <v>155</v>
      </c>
      <c r="R427" t="s">
        <v>29</v>
      </c>
      <c r="S427">
        <v>159</v>
      </c>
      <c r="T427" t="s">
        <v>390</v>
      </c>
      <c r="U427">
        <v>280</v>
      </c>
      <c r="V427">
        <v>110</v>
      </c>
      <c r="W427">
        <v>2.2000000000000002</v>
      </c>
      <c r="X427" t="s">
        <v>156</v>
      </c>
      <c r="Y427">
        <v>12.5</v>
      </c>
      <c r="Z427">
        <v>0.15</v>
      </c>
      <c r="AA427">
        <v>0.1</v>
      </c>
      <c r="AB427">
        <v>44520</v>
      </c>
      <c r="AC427">
        <v>40068</v>
      </c>
      <c r="AD427">
        <v>349.8</v>
      </c>
      <c r="AE427">
        <v>6010.2</v>
      </c>
      <c r="AF427">
        <v>6010</v>
      </c>
      <c r="AG427">
        <v>17490</v>
      </c>
      <c r="AH427">
        <v>10557.8</v>
      </c>
      <c r="AI427" s="5">
        <v>0.26349705500648901</v>
      </c>
    </row>
    <row r="428" spans="14:35" x14ac:dyDescent="0.25">
      <c r="N428" t="s">
        <v>448</v>
      </c>
      <c r="O428" s="1">
        <v>46165.75</v>
      </c>
      <c r="P428" t="s">
        <v>389</v>
      </c>
      <c r="Q428" t="s">
        <v>155</v>
      </c>
      <c r="R428" t="s">
        <v>29</v>
      </c>
      <c r="S428">
        <v>57</v>
      </c>
      <c r="T428" t="s">
        <v>390</v>
      </c>
      <c r="U428">
        <v>280</v>
      </c>
      <c r="V428">
        <v>110</v>
      </c>
      <c r="W428">
        <v>2.2000000000000002</v>
      </c>
      <c r="X428" t="s">
        <v>156</v>
      </c>
      <c r="Y428">
        <v>12.5</v>
      </c>
      <c r="Z428">
        <v>0.15</v>
      </c>
      <c r="AA428">
        <v>0.1</v>
      </c>
      <c r="AB428">
        <v>15960</v>
      </c>
      <c r="AC428">
        <v>14364</v>
      </c>
      <c r="AD428">
        <v>125.4</v>
      </c>
      <c r="AE428">
        <v>2154.6</v>
      </c>
      <c r="AF428">
        <v>2155</v>
      </c>
      <c r="AG428">
        <v>6270</v>
      </c>
      <c r="AH428">
        <v>3784.3999999999996</v>
      </c>
      <c r="AI428" s="5">
        <v>0.26346421609579501</v>
      </c>
    </row>
    <row r="429" spans="14:35" x14ac:dyDescent="0.25">
      <c r="N429" t="s">
        <v>449</v>
      </c>
      <c r="O429" s="1">
        <v>46165.916666666664</v>
      </c>
      <c r="P429" t="s">
        <v>389</v>
      </c>
      <c r="Q429" t="s">
        <v>155</v>
      </c>
      <c r="R429" t="s">
        <v>29</v>
      </c>
      <c r="S429">
        <v>197</v>
      </c>
      <c r="T429" t="s">
        <v>390</v>
      </c>
      <c r="U429">
        <v>280</v>
      </c>
      <c r="V429">
        <v>110</v>
      </c>
      <c r="W429">
        <v>2.2000000000000002</v>
      </c>
      <c r="X429" t="s">
        <v>156</v>
      </c>
      <c r="Y429">
        <v>12.5</v>
      </c>
      <c r="Z429">
        <v>0.15</v>
      </c>
      <c r="AA429">
        <v>0.1</v>
      </c>
      <c r="AB429">
        <v>55160</v>
      </c>
      <c r="AC429">
        <v>49644</v>
      </c>
      <c r="AD429">
        <v>433.40000000000003</v>
      </c>
      <c r="AE429">
        <v>7446.5999999999995</v>
      </c>
      <c r="AF429">
        <v>7447</v>
      </c>
      <c r="AG429">
        <v>21670</v>
      </c>
      <c r="AH429">
        <v>13080.400000000001</v>
      </c>
      <c r="AI429" s="5">
        <v>0.26348400612360001</v>
      </c>
    </row>
    <row r="430" spans="14:35" x14ac:dyDescent="0.25">
      <c r="N430" t="s">
        <v>450</v>
      </c>
      <c r="O430" s="1">
        <v>46166</v>
      </c>
      <c r="P430" t="s">
        <v>389</v>
      </c>
      <c r="Q430" t="s">
        <v>155</v>
      </c>
      <c r="R430" t="s">
        <v>29</v>
      </c>
      <c r="S430">
        <v>15</v>
      </c>
      <c r="T430" t="s">
        <v>390</v>
      </c>
      <c r="U430">
        <v>280</v>
      </c>
      <c r="V430">
        <v>110</v>
      </c>
      <c r="W430">
        <v>2.2000000000000002</v>
      </c>
      <c r="X430" t="s">
        <v>156</v>
      </c>
      <c r="Y430">
        <v>12.5</v>
      </c>
      <c r="Z430">
        <v>0.15</v>
      </c>
      <c r="AA430">
        <v>0.1</v>
      </c>
      <c r="AB430">
        <v>4200</v>
      </c>
      <c r="AC430">
        <v>3780</v>
      </c>
      <c r="AD430">
        <v>33</v>
      </c>
      <c r="AE430">
        <v>567</v>
      </c>
      <c r="AF430">
        <v>567</v>
      </c>
      <c r="AG430">
        <v>1650</v>
      </c>
      <c r="AH430">
        <v>996</v>
      </c>
      <c r="AI430" s="5">
        <v>0.263492063492064</v>
      </c>
    </row>
    <row r="431" spans="14:35" x14ac:dyDescent="0.25">
      <c r="N431" t="s">
        <v>451</v>
      </c>
      <c r="O431" s="1">
        <v>46166.875</v>
      </c>
      <c r="P431" t="s">
        <v>389</v>
      </c>
      <c r="Q431" t="s">
        <v>155</v>
      </c>
      <c r="R431" t="s">
        <v>29</v>
      </c>
      <c r="S431">
        <v>111</v>
      </c>
      <c r="T431" t="s">
        <v>390</v>
      </c>
      <c r="U431">
        <v>280</v>
      </c>
      <c r="V431">
        <v>110</v>
      </c>
      <c r="W431">
        <v>2.2000000000000002</v>
      </c>
      <c r="X431" t="s">
        <v>156</v>
      </c>
      <c r="Y431">
        <v>12.5</v>
      </c>
      <c r="Z431">
        <v>0.15</v>
      </c>
      <c r="AA431">
        <v>0.1</v>
      </c>
      <c r="AB431">
        <v>31080</v>
      </c>
      <c r="AC431">
        <v>27972</v>
      </c>
      <c r="AD431">
        <v>244.20000000000002</v>
      </c>
      <c r="AE431">
        <v>4195.8</v>
      </c>
      <c r="AF431">
        <v>4196</v>
      </c>
      <c r="AG431">
        <v>12210</v>
      </c>
      <c r="AH431">
        <v>7370.2000000000007</v>
      </c>
      <c r="AI431" s="5">
        <v>0.26348491348491399</v>
      </c>
    </row>
    <row r="432" spans="14:35" x14ac:dyDescent="0.25">
      <c r="N432" t="s">
        <v>452</v>
      </c>
      <c r="O432" s="1">
        <v>46167.125</v>
      </c>
      <c r="P432" t="s">
        <v>389</v>
      </c>
      <c r="Q432" t="s">
        <v>155</v>
      </c>
      <c r="R432" t="s">
        <v>29</v>
      </c>
      <c r="S432">
        <v>36</v>
      </c>
      <c r="T432" t="s">
        <v>390</v>
      </c>
      <c r="U432">
        <v>280</v>
      </c>
      <c r="V432">
        <v>110</v>
      </c>
      <c r="W432">
        <v>2.2000000000000002</v>
      </c>
      <c r="X432" t="s">
        <v>156</v>
      </c>
      <c r="Y432">
        <v>12.5</v>
      </c>
      <c r="Z432">
        <v>0.15</v>
      </c>
      <c r="AA432">
        <v>0.1</v>
      </c>
      <c r="AB432">
        <v>10080</v>
      </c>
      <c r="AC432">
        <v>9072</v>
      </c>
      <c r="AD432">
        <v>79.2</v>
      </c>
      <c r="AE432">
        <v>1360.8</v>
      </c>
      <c r="AF432">
        <v>1361</v>
      </c>
      <c r="AG432">
        <v>3960</v>
      </c>
      <c r="AH432">
        <v>2390.1999999999998</v>
      </c>
      <c r="AI432" s="5">
        <v>0.26347001763668398</v>
      </c>
    </row>
    <row r="433" spans="14:35" x14ac:dyDescent="0.25">
      <c r="N433" t="s">
        <v>453</v>
      </c>
      <c r="O433" s="1">
        <v>46167.75</v>
      </c>
      <c r="P433" t="s">
        <v>389</v>
      </c>
      <c r="Q433" t="s">
        <v>155</v>
      </c>
      <c r="R433" t="s">
        <v>24</v>
      </c>
      <c r="S433">
        <v>113</v>
      </c>
      <c r="T433" t="s">
        <v>390</v>
      </c>
      <c r="U433">
        <v>280</v>
      </c>
      <c r="V433">
        <v>110</v>
      </c>
      <c r="W433">
        <v>2.2000000000000002</v>
      </c>
      <c r="X433" t="s">
        <v>156</v>
      </c>
      <c r="Y433">
        <v>12.5</v>
      </c>
      <c r="Z433">
        <v>0.15</v>
      </c>
      <c r="AA433">
        <v>0.02</v>
      </c>
      <c r="AB433">
        <v>31640</v>
      </c>
      <c r="AC433">
        <v>31007</v>
      </c>
      <c r="AD433">
        <v>248.60000000000002</v>
      </c>
      <c r="AE433">
        <v>4651.05</v>
      </c>
      <c r="AF433">
        <v>4651</v>
      </c>
      <c r="AG433">
        <v>12430</v>
      </c>
      <c r="AH433">
        <v>9274.9500000000007</v>
      </c>
      <c r="AI433" s="5">
        <v>0.29912439126648799</v>
      </c>
    </row>
    <row r="434" spans="14:35" x14ac:dyDescent="0.25">
      <c r="N434" t="s">
        <v>454</v>
      </c>
      <c r="O434" s="1">
        <v>46167.791666666664</v>
      </c>
      <c r="P434" t="s">
        <v>389</v>
      </c>
      <c r="Q434" t="s">
        <v>155</v>
      </c>
      <c r="R434" t="s">
        <v>32</v>
      </c>
      <c r="S434">
        <v>30</v>
      </c>
      <c r="T434" t="s">
        <v>390</v>
      </c>
      <c r="U434">
        <v>280</v>
      </c>
      <c r="V434">
        <v>110</v>
      </c>
      <c r="W434">
        <v>2.2000000000000002</v>
      </c>
      <c r="X434" t="s">
        <v>156</v>
      </c>
      <c r="Y434">
        <v>12.5</v>
      </c>
      <c r="Z434">
        <v>0.15</v>
      </c>
      <c r="AA434">
        <v>0.05</v>
      </c>
      <c r="AB434">
        <v>8400</v>
      </c>
      <c r="AC434">
        <v>7980</v>
      </c>
      <c r="AD434">
        <v>66</v>
      </c>
      <c r="AE434">
        <v>1197</v>
      </c>
      <c r="AF434">
        <v>1197</v>
      </c>
      <c r="AG434">
        <v>3300</v>
      </c>
      <c r="AH434">
        <v>2286</v>
      </c>
      <c r="AI434" s="5">
        <v>0.28646616541353398</v>
      </c>
    </row>
    <row r="435" spans="14:35" x14ac:dyDescent="0.25">
      <c r="N435" t="s">
        <v>455</v>
      </c>
      <c r="O435" s="1">
        <v>46167.958333333336</v>
      </c>
      <c r="P435" t="s">
        <v>389</v>
      </c>
      <c r="Q435" t="s">
        <v>155</v>
      </c>
      <c r="R435" t="s">
        <v>32</v>
      </c>
      <c r="S435">
        <v>47</v>
      </c>
      <c r="T435" t="s">
        <v>390</v>
      </c>
      <c r="U435">
        <v>280</v>
      </c>
      <c r="V435">
        <v>110</v>
      </c>
      <c r="W435">
        <v>2.2000000000000002</v>
      </c>
      <c r="X435" t="s">
        <v>156</v>
      </c>
      <c r="Y435">
        <v>12.5</v>
      </c>
      <c r="Z435">
        <v>0.15</v>
      </c>
      <c r="AA435">
        <v>0.05</v>
      </c>
      <c r="AB435">
        <v>13160</v>
      </c>
      <c r="AC435">
        <v>12502</v>
      </c>
      <c r="AD435">
        <v>103.4</v>
      </c>
      <c r="AE435">
        <v>1875.3</v>
      </c>
      <c r="AF435">
        <v>1875</v>
      </c>
      <c r="AG435">
        <v>5170</v>
      </c>
      <c r="AH435">
        <v>3581.7000000000007</v>
      </c>
      <c r="AI435" s="5">
        <v>0.28649016157414797</v>
      </c>
    </row>
    <row r="436" spans="14:35" x14ac:dyDescent="0.25">
      <c r="N436" t="s">
        <v>456</v>
      </c>
      <c r="O436" s="1">
        <v>46168.416666666664</v>
      </c>
      <c r="P436" t="s">
        <v>389</v>
      </c>
      <c r="Q436" t="s">
        <v>155</v>
      </c>
      <c r="R436" t="s">
        <v>32</v>
      </c>
      <c r="S436">
        <v>135</v>
      </c>
      <c r="T436" t="s">
        <v>390</v>
      </c>
      <c r="U436">
        <v>280</v>
      </c>
      <c r="V436">
        <v>110</v>
      </c>
      <c r="W436">
        <v>2.2000000000000002</v>
      </c>
      <c r="X436" t="s">
        <v>156</v>
      </c>
      <c r="Y436">
        <v>12.5</v>
      </c>
      <c r="Z436">
        <v>0.15</v>
      </c>
      <c r="AA436">
        <v>0.05</v>
      </c>
      <c r="AB436">
        <v>37800</v>
      </c>
      <c r="AC436">
        <v>35910</v>
      </c>
      <c r="AD436">
        <v>297</v>
      </c>
      <c r="AE436">
        <v>5386.5</v>
      </c>
      <c r="AF436">
        <v>5386</v>
      </c>
      <c r="AG436">
        <v>14850</v>
      </c>
      <c r="AH436">
        <v>10287.5</v>
      </c>
      <c r="AI436" s="5">
        <v>0.286480089111668</v>
      </c>
    </row>
    <row r="437" spans="14:35" x14ac:dyDescent="0.25">
      <c r="N437" t="s">
        <v>457</v>
      </c>
      <c r="O437" s="1">
        <v>46168.625</v>
      </c>
      <c r="P437" t="s">
        <v>389</v>
      </c>
      <c r="Q437" t="s">
        <v>155</v>
      </c>
      <c r="R437" t="s">
        <v>32</v>
      </c>
      <c r="S437">
        <v>112</v>
      </c>
      <c r="T437" t="s">
        <v>390</v>
      </c>
      <c r="U437">
        <v>280</v>
      </c>
      <c r="V437">
        <v>110</v>
      </c>
      <c r="W437">
        <v>2.2000000000000002</v>
      </c>
      <c r="X437" t="s">
        <v>156</v>
      </c>
      <c r="Y437">
        <v>12.5</v>
      </c>
      <c r="Z437">
        <v>0.15</v>
      </c>
      <c r="AA437">
        <v>0.05</v>
      </c>
      <c r="AB437">
        <v>31360</v>
      </c>
      <c r="AC437">
        <v>29792</v>
      </c>
      <c r="AD437">
        <v>246.40000000000003</v>
      </c>
      <c r="AE437">
        <v>4468.8</v>
      </c>
      <c r="AF437">
        <v>4469</v>
      </c>
      <c r="AG437">
        <v>12320</v>
      </c>
      <c r="AH437">
        <v>8534.2000000000007</v>
      </c>
      <c r="AI437" s="5">
        <v>0.28645945220193297</v>
      </c>
    </row>
    <row r="438" spans="14:35" x14ac:dyDescent="0.25">
      <c r="N438" t="s">
        <v>458</v>
      </c>
      <c r="O438" s="1">
        <v>46169.166666666664</v>
      </c>
      <c r="P438" t="s">
        <v>389</v>
      </c>
      <c r="Q438" t="s">
        <v>155</v>
      </c>
      <c r="R438" t="s">
        <v>24</v>
      </c>
      <c r="S438">
        <v>141</v>
      </c>
      <c r="T438" t="s">
        <v>390</v>
      </c>
      <c r="U438">
        <v>280</v>
      </c>
      <c r="V438">
        <v>110</v>
      </c>
      <c r="W438">
        <v>2.2000000000000002</v>
      </c>
      <c r="X438" t="s">
        <v>156</v>
      </c>
      <c r="Y438">
        <v>12.5</v>
      </c>
      <c r="Z438">
        <v>0.15</v>
      </c>
      <c r="AA438">
        <v>0.02</v>
      </c>
      <c r="AB438">
        <v>39480</v>
      </c>
      <c r="AC438">
        <v>38690</v>
      </c>
      <c r="AD438">
        <v>310.20000000000005</v>
      </c>
      <c r="AE438">
        <v>5803.5</v>
      </c>
      <c r="AF438">
        <v>5804</v>
      </c>
      <c r="AG438">
        <v>15510</v>
      </c>
      <c r="AH438">
        <v>11572.5</v>
      </c>
      <c r="AI438" s="5">
        <v>0.299108296717498</v>
      </c>
    </row>
    <row r="439" spans="14:35" x14ac:dyDescent="0.25">
      <c r="N439" t="s">
        <v>459</v>
      </c>
      <c r="O439" s="1">
        <v>46169.333333333336</v>
      </c>
      <c r="P439" t="s">
        <v>389</v>
      </c>
      <c r="Q439" t="s">
        <v>155</v>
      </c>
      <c r="R439" t="s">
        <v>32</v>
      </c>
      <c r="S439">
        <v>25</v>
      </c>
      <c r="T439" t="s">
        <v>390</v>
      </c>
      <c r="U439">
        <v>280</v>
      </c>
      <c r="V439">
        <v>110</v>
      </c>
      <c r="W439">
        <v>2.2000000000000002</v>
      </c>
      <c r="X439" t="s">
        <v>156</v>
      </c>
      <c r="Y439">
        <v>12.5</v>
      </c>
      <c r="Z439">
        <v>0.15</v>
      </c>
      <c r="AA439">
        <v>0.05</v>
      </c>
      <c r="AB439">
        <v>7000</v>
      </c>
      <c r="AC439">
        <v>6650</v>
      </c>
      <c r="AD439">
        <v>55.000000000000007</v>
      </c>
      <c r="AE439">
        <v>997.5</v>
      </c>
      <c r="AF439">
        <v>998</v>
      </c>
      <c r="AG439">
        <v>2750</v>
      </c>
      <c r="AH439">
        <v>1904.5</v>
      </c>
      <c r="AI439" s="5">
        <v>0.28639097744360897</v>
      </c>
    </row>
    <row r="440" spans="14:35" x14ac:dyDescent="0.25">
      <c r="N440" t="s">
        <v>460</v>
      </c>
      <c r="O440" s="1">
        <v>46169.583333333336</v>
      </c>
      <c r="P440" t="s">
        <v>389</v>
      </c>
      <c r="Q440" t="s">
        <v>155</v>
      </c>
      <c r="R440" t="s">
        <v>29</v>
      </c>
      <c r="S440">
        <v>114</v>
      </c>
      <c r="T440" t="s">
        <v>390</v>
      </c>
      <c r="U440">
        <v>280</v>
      </c>
      <c r="V440">
        <v>110</v>
      </c>
      <c r="W440">
        <v>2.2000000000000002</v>
      </c>
      <c r="X440" t="s">
        <v>156</v>
      </c>
      <c r="Y440">
        <v>12.5</v>
      </c>
      <c r="Z440">
        <v>0.15</v>
      </c>
      <c r="AA440">
        <v>0.1</v>
      </c>
      <c r="AB440">
        <v>31920</v>
      </c>
      <c r="AC440">
        <v>28728</v>
      </c>
      <c r="AD440">
        <v>250.8</v>
      </c>
      <c r="AE440">
        <v>4309.2</v>
      </c>
      <c r="AF440">
        <v>4309</v>
      </c>
      <c r="AG440">
        <v>12540</v>
      </c>
      <c r="AH440">
        <v>7569.7999999999993</v>
      </c>
      <c r="AI440" s="5">
        <v>0.26349902534113101</v>
      </c>
    </row>
    <row r="441" spans="14:35" x14ac:dyDescent="0.25">
      <c r="N441" t="s">
        <v>461</v>
      </c>
      <c r="O441" s="1">
        <v>46169.791666666664</v>
      </c>
      <c r="P441" t="s">
        <v>389</v>
      </c>
      <c r="Q441" t="s">
        <v>155</v>
      </c>
      <c r="R441" t="s">
        <v>24</v>
      </c>
      <c r="S441">
        <v>112</v>
      </c>
      <c r="T441" t="s">
        <v>390</v>
      </c>
      <c r="U441">
        <v>280</v>
      </c>
      <c r="V441">
        <v>110</v>
      </c>
      <c r="W441">
        <v>2.2000000000000002</v>
      </c>
      <c r="X441" t="s">
        <v>156</v>
      </c>
      <c r="Y441">
        <v>12.5</v>
      </c>
      <c r="Z441">
        <v>0.15</v>
      </c>
      <c r="AA441">
        <v>0.02</v>
      </c>
      <c r="AB441">
        <v>31360</v>
      </c>
      <c r="AC441">
        <v>30733</v>
      </c>
      <c r="AD441">
        <v>246.40000000000003</v>
      </c>
      <c r="AE441">
        <v>4609.95</v>
      </c>
      <c r="AF441">
        <v>4610</v>
      </c>
      <c r="AG441">
        <v>12320</v>
      </c>
      <c r="AH441">
        <v>9193.0499999999993</v>
      </c>
      <c r="AI441" s="5">
        <v>0.29912634627273599</v>
      </c>
    </row>
    <row r="442" spans="14:35" x14ac:dyDescent="0.25">
      <c r="N442" t="s">
        <v>462</v>
      </c>
      <c r="O442" s="1">
        <v>46170.333333333336</v>
      </c>
      <c r="P442" t="s">
        <v>389</v>
      </c>
      <c r="Q442" t="s">
        <v>155</v>
      </c>
      <c r="R442" t="s">
        <v>29</v>
      </c>
      <c r="S442">
        <v>104</v>
      </c>
      <c r="T442" t="s">
        <v>390</v>
      </c>
      <c r="U442">
        <v>280</v>
      </c>
      <c r="V442">
        <v>110</v>
      </c>
      <c r="W442">
        <v>2.2000000000000002</v>
      </c>
      <c r="X442" t="s">
        <v>156</v>
      </c>
      <c r="Y442">
        <v>12.5</v>
      </c>
      <c r="Z442">
        <v>0.15</v>
      </c>
      <c r="AA442">
        <v>0.1</v>
      </c>
      <c r="AB442">
        <v>29120</v>
      </c>
      <c r="AC442">
        <v>26208</v>
      </c>
      <c r="AD442">
        <v>228.8</v>
      </c>
      <c r="AE442">
        <v>3931.2</v>
      </c>
      <c r="AF442">
        <v>3931</v>
      </c>
      <c r="AG442">
        <v>11440</v>
      </c>
      <c r="AH442">
        <v>6905.7999999999993</v>
      </c>
      <c r="AI442" s="5">
        <v>0.26349969474969498</v>
      </c>
    </row>
    <row r="443" spans="14:35" x14ac:dyDescent="0.25">
      <c r="N443" t="s">
        <v>463</v>
      </c>
      <c r="O443" s="1">
        <v>46170.75</v>
      </c>
      <c r="P443" t="s">
        <v>389</v>
      </c>
      <c r="Q443" t="s">
        <v>155</v>
      </c>
      <c r="R443" t="s">
        <v>29</v>
      </c>
      <c r="S443">
        <v>136</v>
      </c>
      <c r="T443" t="s">
        <v>390</v>
      </c>
      <c r="U443">
        <v>280</v>
      </c>
      <c r="V443">
        <v>110</v>
      </c>
      <c r="W443">
        <v>2.2000000000000002</v>
      </c>
      <c r="X443" t="s">
        <v>156</v>
      </c>
      <c r="Y443">
        <v>12.5</v>
      </c>
      <c r="Z443">
        <v>0.15</v>
      </c>
      <c r="AA443">
        <v>0.1</v>
      </c>
      <c r="AB443">
        <v>38080</v>
      </c>
      <c r="AC443">
        <v>34272</v>
      </c>
      <c r="AD443">
        <v>299.20000000000005</v>
      </c>
      <c r="AE443">
        <v>5140.8</v>
      </c>
      <c r="AF443">
        <v>5141</v>
      </c>
      <c r="AG443">
        <v>14960</v>
      </c>
      <c r="AH443">
        <v>9030.2000000000007</v>
      </c>
      <c r="AI443" s="5">
        <v>0.26348622782446302</v>
      </c>
    </row>
    <row r="444" spans="14:35" x14ac:dyDescent="0.25">
      <c r="N444" t="s">
        <v>464</v>
      </c>
      <c r="O444" s="1">
        <v>46170.916666666664</v>
      </c>
      <c r="P444" t="s">
        <v>389</v>
      </c>
      <c r="Q444" t="s">
        <v>155</v>
      </c>
      <c r="R444" t="s">
        <v>32</v>
      </c>
      <c r="S444">
        <v>178</v>
      </c>
      <c r="T444" t="s">
        <v>390</v>
      </c>
      <c r="U444">
        <v>280</v>
      </c>
      <c r="V444">
        <v>110</v>
      </c>
      <c r="W444">
        <v>2.2000000000000002</v>
      </c>
      <c r="X444" t="s">
        <v>156</v>
      </c>
      <c r="Y444">
        <v>12.5</v>
      </c>
      <c r="Z444">
        <v>0.15</v>
      </c>
      <c r="AA444">
        <v>0.05</v>
      </c>
      <c r="AB444">
        <v>49840</v>
      </c>
      <c r="AC444">
        <v>47348</v>
      </c>
      <c r="AD444">
        <v>391.6</v>
      </c>
      <c r="AE444">
        <v>7102.2</v>
      </c>
      <c r="AF444">
        <v>7102</v>
      </c>
      <c r="AG444">
        <v>19580</v>
      </c>
      <c r="AH444">
        <v>13563.800000000003</v>
      </c>
      <c r="AI444" s="5">
        <v>0.28647038945678799</v>
      </c>
    </row>
    <row r="445" spans="14:35" x14ac:dyDescent="0.25">
      <c r="N445" t="s">
        <v>465</v>
      </c>
      <c r="O445" s="1">
        <v>46171.083333333336</v>
      </c>
      <c r="P445" t="s">
        <v>389</v>
      </c>
      <c r="Q445" t="s">
        <v>155</v>
      </c>
      <c r="R445" t="s">
        <v>32</v>
      </c>
      <c r="S445">
        <v>180</v>
      </c>
      <c r="T445" t="s">
        <v>390</v>
      </c>
      <c r="U445">
        <v>280</v>
      </c>
      <c r="V445">
        <v>110</v>
      </c>
      <c r="W445">
        <v>2.2000000000000002</v>
      </c>
      <c r="X445" t="s">
        <v>156</v>
      </c>
      <c r="Y445">
        <v>12.5</v>
      </c>
      <c r="Z445">
        <v>0.15</v>
      </c>
      <c r="AA445">
        <v>0.05</v>
      </c>
      <c r="AB445">
        <v>50400</v>
      </c>
      <c r="AC445">
        <v>47880</v>
      </c>
      <c r="AD445">
        <v>396.00000000000006</v>
      </c>
      <c r="AE445">
        <v>7182</v>
      </c>
      <c r="AF445">
        <v>7182</v>
      </c>
      <c r="AG445">
        <v>19800</v>
      </c>
      <c r="AH445">
        <v>13716</v>
      </c>
      <c r="AI445" s="5">
        <v>0.28646616541353398</v>
      </c>
    </row>
    <row r="446" spans="14:35" x14ac:dyDescent="0.25">
      <c r="N446" t="s">
        <v>466</v>
      </c>
      <c r="O446" s="1">
        <v>46171.291666666664</v>
      </c>
      <c r="P446" t="s">
        <v>389</v>
      </c>
      <c r="Q446" t="s">
        <v>155</v>
      </c>
      <c r="R446" t="s">
        <v>29</v>
      </c>
      <c r="S446">
        <v>105</v>
      </c>
      <c r="T446" t="s">
        <v>390</v>
      </c>
      <c r="U446">
        <v>280</v>
      </c>
      <c r="V446">
        <v>110</v>
      </c>
      <c r="W446">
        <v>2.2000000000000002</v>
      </c>
      <c r="X446" t="s">
        <v>156</v>
      </c>
      <c r="Y446">
        <v>12.5</v>
      </c>
      <c r="Z446">
        <v>0.15</v>
      </c>
      <c r="AA446">
        <v>0.1</v>
      </c>
      <c r="AB446">
        <v>29400</v>
      </c>
      <c r="AC446">
        <v>26460</v>
      </c>
      <c r="AD446">
        <v>231.00000000000003</v>
      </c>
      <c r="AE446">
        <v>3969</v>
      </c>
      <c r="AF446">
        <v>3969</v>
      </c>
      <c r="AG446">
        <v>11550</v>
      </c>
      <c r="AH446">
        <v>6972</v>
      </c>
      <c r="AI446" s="5">
        <v>0.263492063492064</v>
      </c>
    </row>
    <row r="447" spans="14:35" x14ac:dyDescent="0.25">
      <c r="N447" t="s">
        <v>467</v>
      </c>
      <c r="O447" s="1">
        <v>46171.708333333336</v>
      </c>
      <c r="P447" t="s">
        <v>389</v>
      </c>
      <c r="Q447" t="s">
        <v>155</v>
      </c>
      <c r="R447" t="s">
        <v>32</v>
      </c>
      <c r="S447">
        <v>99</v>
      </c>
      <c r="T447" t="s">
        <v>390</v>
      </c>
      <c r="U447">
        <v>280</v>
      </c>
      <c r="V447">
        <v>110</v>
      </c>
      <c r="W447">
        <v>2.2000000000000002</v>
      </c>
      <c r="X447" t="s">
        <v>156</v>
      </c>
      <c r="Y447">
        <v>12.5</v>
      </c>
      <c r="Z447">
        <v>0.15</v>
      </c>
      <c r="AA447">
        <v>0.05</v>
      </c>
      <c r="AB447">
        <v>27720</v>
      </c>
      <c r="AC447">
        <v>26334</v>
      </c>
      <c r="AD447">
        <v>217.8</v>
      </c>
      <c r="AE447">
        <v>3950.1</v>
      </c>
      <c r="AF447">
        <v>3950</v>
      </c>
      <c r="AG447">
        <v>10890</v>
      </c>
      <c r="AH447">
        <v>7543.9000000000015</v>
      </c>
      <c r="AI447" s="5">
        <v>0.28646996278575199</v>
      </c>
    </row>
    <row r="448" spans="14:35" x14ac:dyDescent="0.25">
      <c r="N448" t="s">
        <v>468</v>
      </c>
      <c r="O448" s="1">
        <v>46171.833333333336</v>
      </c>
      <c r="P448" t="s">
        <v>389</v>
      </c>
      <c r="Q448" t="s">
        <v>155</v>
      </c>
      <c r="R448" t="s">
        <v>32</v>
      </c>
      <c r="S448">
        <v>162</v>
      </c>
      <c r="T448" t="s">
        <v>390</v>
      </c>
      <c r="U448">
        <v>280</v>
      </c>
      <c r="V448">
        <v>110</v>
      </c>
      <c r="W448">
        <v>2.2000000000000002</v>
      </c>
      <c r="X448" t="s">
        <v>156</v>
      </c>
      <c r="Y448">
        <v>12.5</v>
      </c>
      <c r="Z448">
        <v>0.15</v>
      </c>
      <c r="AA448">
        <v>0.05</v>
      </c>
      <c r="AB448">
        <v>45360</v>
      </c>
      <c r="AC448">
        <v>43092</v>
      </c>
      <c r="AD448">
        <v>356.40000000000003</v>
      </c>
      <c r="AE448">
        <v>6463.8</v>
      </c>
      <c r="AF448">
        <v>6464</v>
      </c>
      <c r="AG448">
        <v>17820</v>
      </c>
      <c r="AH448">
        <v>12344.2</v>
      </c>
      <c r="AI448" s="5">
        <v>0.28646152418082199</v>
      </c>
    </row>
    <row r="449" spans="14:35" x14ac:dyDescent="0.25">
      <c r="N449" t="s">
        <v>469</v>
      </c>
      <c r="O449" s="1">
        <v>46172.125</v>
      </c>
      <c r="P449" t="s">
        <v>389</v>
      </c>
      <c r="Q449" t="s">
        <v>155</v>
      </c>
      <c r="R449" t="s">
        <v>29</v>
      </c>
      <c r="S449">
        <v>193</v>
      </c>
      <c r="T449" t="s">
        <v>390</v>
      </c>
      <c r="U449">
        <v>280</v>
      </c>
      <c r="V449">
        <v>110</v>
      </c>
      <c r="W449">
        <v>2.2000000000000002</v>
      </c>
      <c r="X449" t="s">
        <v>156</v>
      </c>
      <c r="Y449">
        <v>12.5</v>
      </c>
      <c r="Z449">
        <v>0.15</v>
      </c>
      <c r="AA449">
        <v>0.1</v>
      </c>
      <c r="AB449">
        <v>54040</v>
      </c>
      <c r="AC449">
        <v>48636</v>
      </c>
      <c r="AD449">
        <v>424.6</v>
      </c>
      <c r="AE449">
        <v>7295.4</v>
      </c>
      <c r="AF449">
        <v>7295</v>
      </c>
      <c r="AG449">
        <v>21230</v>
      </c>
      <c r="AH449">
        <v>12815.599999999999</v>
      </c>
      <c r="AI449" s="5">
        <v>0.26350028785261898</v>
      </c>
    </row>
    <row r="450" spans="14:35" x14ac:dyDescent="0.25">
      <c r="N450" t="s">
        <v>470</v>
      </c>
      <c r="O450" s="1">
        <v>46172.25</v>
      </c>
      <c r="P450" t="s">
        <v>389</v>
      </c>
      <c r="Q450" t="s">
        <v>155</v>
      </c>
      <c r="R450" t="s">
        <v>24</v>
      </c>
      <c r="S450">
        <v>140</v>
      </c>
      <c r="T450" t="s">
        <v>390</v>
      </c>
      <c r="U450">
        <v>280</v>
      </c>
      <c r="V450">
        <v>110</v>
      </c>
      <c r="W450">
        <v>2.2000000000000002</v>
      </c>
      <c r="X450" t="s">
        <v>156</v>
      </c>
      <c r="Y450">
        <v>12.5</v>
      </c>
      <c r="Z450">
        <v>0.15</v>
      </c>
      <c r="AA450">
        <v>0.02</v>
      </c>
      <c r="AB450">
        <v>39200</v>
      </c>
      <c r="AC450">
        <v>38416</v>
      </c>
      <c r="AD450">
        <v>308</v>
      </c>
      <c r="AE450">
        <v>5762.4</v>
      </c>
      <c r="AF450">
        <v>5762</v>
      </c>
      <c r="AG450">
        <v>15400</v>
      </c>
      <c r="AH450">
        <v>11491.599999999999</v>
      </c>
      <c r="AI450" s="5">
        <v>0.299135776759683</v>
      </c>
    </row>
    <row r="451" spans="14:35" x14ac:dyDescent="0.25">
      <c r="N451" t="s">
        <v>471</v>
      </c>
      <c r="O451" s="1">
        <v>46172.375</v>
      </c>
      <c r="P451" t="s">
        <v>389</v>
      </c>
      <c r="Q451" t="s">
        <v>155</v>
      </c>
      <c r="R451" t="s">
        <v>32</v>
      </c>
      <c r="S451">
        <v>86</v>
      </c>
      <c r="T451" t="s">
        <v>390</v>
      </c>
      <c r="U451">
        <v>280</v>
      </c>
      <c r="V451">
        <v>110</v>
      </c>
      <c r="W451">
        <v>2.2000000000000002</v>
      </c>
      <c r="X451" t="s">
        <v>156</v>
      </c>
      <c r="Y451">
        <v>12.5</v>
      </c>
      <c r="Z451">
        <v>0.15</v>
      </c>
      <c r="AA451">
        <v>0.05</v>
      </c>
      <c r="AB451">
        <v>24080</v>
      </c>
      <c r="AC451">
        <v>22876</v>
      </c>
      <c r="AD451">
        <v>189.20000000000002</v>
      </c>
      <c r="AE451">
        <v>3431.4</v>
      </c>
      <c r="AF451">
        <v>3431</v>
      </c>
      <c r="AG451">
        <v>9460</v>
      </c>
      <c r="AH451">
        <v>6553.6</v>
      </c>
      <c r="AI451" s="5">
        <v>0.28648365098793499</v>
      </c>
    </row>
    <row r="452" spans="14:35" x14ac:dyDescent="0.25">
      <c r="N452" t="s">
        <v>472</v>
      </c>
      <c r="O452" s="1">
        <v>46172.5</v>
      </c>
      <c r="P452" t="s">
        <v>389</v>
      </c>
      <c r="Q452" t="s">
        <v>155</v>
      </c>
      <c r="R452" t="s">
        <v>29</v>
      </c>
      <c r="S452">
        <v>161</v>
      </c>
      <c r="T452" t="s">
        <v>390</v>
      </c>
      <c r="U452">
        <v>280</v>
      </c>
      <c r="V452">
        <v>110</v>
      </c>
      <c r="W452">
        <v>2.2000000000000002</v>
      </c>
      <c r="X452" t="s">
        <v>156</v>
      </c>
      <c r="Y452">
        <v>12.5</v>
      </c>
      <c r="Z452">
        <v>0.15</v>
      </c>
      <c r="AA452">
        <v>0.1</v>
      </c>
      <c r="AB452">
        <v>45080</v>
      </c>
      <c r="AC452">
        <v>40572</v>
      </c>
      <c r="AD452">
        <v>354.20000000000005</v>
      </c>
      <c r="AE452">
        <v>6085.8</v>
      </c>
      <c r="AF452">
        <v>6086</v>
      </c>
      <c r="AG452">
        <v>17710</v>
      </c>
      <c r="AH452">
        <v>10690.2</v>
      </c>
      <c r="AI452" s="5">
        <v>0.26348713398402801</v>
      </c>
    </row>
    <row r="453" spans="14:35" x14ac:dyDescent="0.25">
      <c r="N453" t="s">
        <v>473</v>
      </c>
      <c r="O453" s="1">
        <v>46172.708333333336</v>
      </c>
      <c r="P453" t="s">
        <v>389</v>
      </c>
      <c r="Q453" t="s">
        <v>155</v>
      </c>
      <c r="R453" t="s">
        <v>32</v>
      </c>
      <c r="S453">
        <v>93</v>
      </c>
      <c r="T453" t="s">
        <v>390</v>
      </c>
      <c r="U453">
        <v>280</v>
      </c>
      <c r="V453">
        <v>110</v>
      </c>
      <c r="W453">
        <v>2.2000000000000002</v>
      </c>
      <c r="X453" t="s">
        <v>156</v>
      </c>
      <c r="Y453">
        <v>12.5</v>
      </c>
      <c r="Z453">
        <v>0.15</v>
      </c>
      <c r="AA453">
        <v>0.05</v>
      </c>
      <c r="AB453">
        <v>26040</v>
      </c>
      <c r="AC453">
        <v>24738</v>
      </c>
      <c r="AD453">
        <v>204.60000000000002</v>
      </c>
      <c r="AE453">
        <v>3710.7</v>
      </c>
      <c r="AF453">
        <v>3711</v>
      </c>
      <c r="AG453">
        <v>10230</v>
      </c>
      <c r="AH453">
        <v>7086.2999999999993</v>
      </c>
      <c r="AI453" s="5">
        <v>0.28645403832160998</v>
      </c>
    </row>
    <row r="454" spans="14:35" x14ac:dyDescent="0.25">
      <c r="N454" t="s">
        <v>474</v>
      </c>
      <c r="O454" s="1">
        <v>46173.333333333336</v>
      </c>
      <c r="P454" t="s">
        <v>389</v>
      </c>
      <c r="Q454" t="s">
        <v>155</v>
      </c>
      <c r="R454" t="s">
        <v>32</v>
      </c>
      <c r="S454">
        <v>44</v>
      </c>
      <c r="T454" t="s">
        <v>390</v>
      </c>
      <c r="U454">
        <v>280</v>
      </c>
      <c r="V454">
        <v>110</v>
      </c>
      <c r="W454">
        <v>2.2000000000000002</v>
      </c>
      <c r="X454" t="s">
        <v>156</v>
      </c>
      <c r="Y454">
        <v>12.5</v>
      </c>
      <c r="Z454">
        <v>0.15</v>
      </c>
      <c r="AA454">
        <v>0.05</v>
      </c>
      <c r="AB454">
        <v>12320</v>
      </c>
      <c r="AC454">
        <v>11704</v>
      </c>
      <c r="AD454">
        <v>96.800000000000011</v>
      </c>
      <c r="AE454">
        <v>1755.6</v>
      </c>
      <c r="AF454">
        <v>1756</v>
      </c>
      <c r="AG454">
        <v>4840</v>
      </c>
      <c r="AH454">
        <v>3352.3999999999996</v>
      </c>
      <c r="AI454" s="5">
        <v>0.28643198906356798</v>
      </c>
    </row>
    <row r="455" spans="14:35" x14ac:dyDescent="0.25">
      <c r="N455" t="s">
        <v>475</v>
      </c>
      <c r="O455" s="1">
        <v>46173.75</v>
      </c>
      <c r="P455" t="s">
        <v>389</v>
      </c>
      <c r="Q455" t="s">
        <v>155</v>
      </c>
      <c r="R455" t="s">
        <v>32</v>
      </c>
      <c r="S455">
        <v>192</v>
      </c>
      <c r="T455" t="s">
        <v>390</v>
      </c>
      <c r="U455">
        <v>280</v>
      </c>
      <c r="V455">
        <v>110</v>
      </c>
      <c r="W455">
        <v>2.2000000000000002</v>
      </c>
      <c r="X455" t="s">
        <v>156</v>
      </c>
      <c r="Y455">
        <v>12.5</v>
      </c>
      <c r="Z455">
        <v>0.15</v>
      </c>
      <c r="AA455">
        <v>0.05</v>
      </c>
      <c r="AB455">
        <v>53760</v>
      </c>
      <c r="AC455">
        <v>51072</v>
      </c>
      <c r="AD455">
        <v>422.40000000000003</v>
      </c>
      <c r="AE455">
        <v>7660.7999999999993</v>
      </c>
      <c r="AF455">
        <v>7661</v>
      </c>
      <c r="AG455">
        <v>21120</v>
      </c>
      <c r="AH455">
        <v>14630.199999999997</v>
      </c>
      <c r="AI455" s="5">
        <v>0.28646224937343401</v>
      </c>
    </row>
    <row r="456" spans="14:35" x14ac:dyDescent="0.25">
      <c r="N456" t="s">
        <v>476</v>
      </c>
      <c r="O456" s="1">
        <v>46173.916666666664</v>
      </c>
      <c r="P456" t="s">
        <v>389</v>
      </c>
      <c r="Q456" t="s">
        <v>155</v>
      </c>
      <c r="R456" t="s">
        <v>29</v>
      </c>
      <c r="S456">
        <v>158</v>
      </c>
      <c r="T456" t="s">
        <v>390</v>
      </c>
      <c r="U456">
        <v>280</v>
      </c>
      <c r="V456">
        <v>110</v>
      </c>
      <c r="W456">
        <v>2.2000000000000002</v>
      </c>
      <c r="X456" t="s">
        <v>156</v>
      </c>
      <c r="Y456">
        <v>12.5</v>
      </c>
      <c r="Z456">
        <v>0.15</v>
      </c>
      <c r="AA456">
        <v>0.1</v>
      </c>
      <c r="AB456">
        <v>44240</v>
      </c>
      <c r="AC456">
        <v>39816</v>
      </c>
      <c r="AD456">
        <v>347.6</v>
      </c>
      <c r="AE456">
        <v>5972.4</v>
      </c>
      <c r="AF456">
        <v>5972</v>
      </c>
      <c r="AG456">
        <v>17380</v>
      </c>
      <c r="AH456">
        <v>10491.599999999999</v>
      </c>
      <c r="AI456" s="5">
        <v>0.263502109704641</v>
      </c>
    </row>
    <row r="457" spans="14:35" x14ac:dyDescent="0.25">
      <c r="N457" t="s">
        <v>477</v>
      </c>
      <c r="O457" s="1">
        <v>46174.041666666664</v>
      </c>
      <c r="P457" t="s">
        <v>389</v>
      </c>
      <c r="Q457" t="s">
        <v>155</v>
      </c>
      <c r="R457" t="s">
        <v>24</v>
      </c>
      <c r="S457">
        <v>149</v>
      </c>
      <c r="T457" t="s">
        <v>390</v>
      </c>
      <c r="U457">
        <v>280</v>
      </c>
      <c r="V457">
        <v>110</v>
      </c>
      <c r="W457">
        <v>2.2000000000000002</v>
      </c>
      <c r="X457" t="s">
        <v>156</v>
      </c>
      <c r="Y457">
        <v>12.5</v>
      </c>
      <c r="Z457">
        <v>0.15</v>
      </c>
      <c r="AA457">
        <v>0.02</v>
      </c>
      <c r="AB457">
        <v>41720</v>
      </c>
      <c r="AC457">
        <v>40886</v>
      </c>
      <c r="AD457">
        <v>327.8</v>
      </c>
      <c r="AE457">
        <v>6132.9</v>
      </c>
      <c r="AF457">
        <v>6133</v>
      </c>
      <c r="AG457">
        <v>16390</v>
      </c>
      <c r="AH457">
        <v>12230.099999999999</v>
      </c>
      <c r="AI457" s="5">
        <v>0.29912684048329502</v>
      </c>
    </row>
    <row r="458" spans="14:35" x14ac:dyDescent="0.25">
      <c r="N458" t="s">
        <v>478</v>
      </c>
      <c r="O458" s="1">
        <v>46174.083333333336</v>
      </c>
      <c r="P458" t="s">
        <v>389</v>
      </c>
      <c r="Q458" t="s">
        <v>155</v>
      </c>
      <c r="R458" t="s">
        <v>24</v>
      </c>
      <c r="S458">
        <v>119</v>
      </c>
      <c r="T458" t="s">
        <v>390</v>
      </c>
      <c r="U458">
        <v>280</v>
      </c>
      <c r="V458">
        <v>110</v>
      </c>
      <c r="W458">
        <v>2.2000000000000002</v>
      </c>
      <c r="X458" t="s">
        <v>156</v>
      </c>
      <c r="Y458">
        <v>12.5</v>
      </c>
      <c r="Z458">
        <v>0.15</v>
      </c>
      <c r="AA458">
        <v>0.02</v>
      </c>
      <c r="AB458">
        <v>33320</v>
      </c>
      <c r="AC458">
        <v>32654</v>
      </c>
      <c r="AD458">
        <v>261.8</v>
      </c>
      <c r="AE458">
        <v>4898.0999999999995</v>
      </c>
      <c r="AF458">
        <v>4898</v>
      </c>
      <c r="AG458">
        <v>13090</v>
      </c>
      <c r="AH458">
        <v>9767.9000000000015</v>
      </c>
      <c r="AI458" s="5">
        <v>0.29913333741654902</v>
      </c>
    </row>
    <row r="459" spans="14:35" x14ac:dyDescent="0.25">
      <c r="N459" t="s">
        <v>479</v>
      </c>
      <c r="O459" s="1">
        <v>46174.958333333336</v>
      </c>
      <c r="P459" t="s">
        <v>389</v>
      </c>
      <c r="Q459" t="s">
        <v>155</v>
      </c>
      <c r="R459" t="s">
        <v>24</v>
      </c>
      <c r="S459">
        <v>46</v>
      </c>
      <c r="T459" t="s">
        <v>390</v>
      </c>
      <c r="U459">
        <v>280</v>
      </c>
      <c r="V459">
        <v>110</v>
      </c>
      <c r="W459">
        <v>2.2000000000000002</v>
      </c>
      <c r="X459" t="s">
        <v>156</v>
      </c>
      <c r="Y459">
        <v>12.5</v>
      </c>
      <c r="Z459">
        <v>0.15</v>
      </c>
      <c r="AA459">
        <v>0.02</v>
      </c>
      <c r="AB459">
        <v>12880</v>
      </c>
      <c r="AC459">
        <v>12622</v>
      </c>
      <c r="AD459">
        <v>101.2</v>
      </c>
      <c r="AE459">
        <v>1893.3</v>
      </c>
      <c r="AF459">
        <v>1893</v>
      </c>
      <c r="AG459">
        <v>5060</v>
      </c>
      <c r="AH459">
        <v>3775.7000000000007</v>
      </c>
      <c r="AI459" s="5">
        <v>0.299136428458248</v>
      </c>
    </row>
    <row r="460" spans="14:35" x14ac:dyDescent="0.25">
      <c r="N460" t="s">
        <v>480</v>
      </c>
      <c r="O460" s="1">
        <v>46175</v>
      </c>
      <c r="P460" t="s">
        <v>389</v>
      </c>
      <c r="Q460" t="s">
        <v>155</v>
      </c>
      <c r="R460" t="s">
        <v>24</v>
      </c>
      <c r="S460">
        <v>52</v>
      </c>
      <c r="T460" t="s">
        <v>390</v>
      </c>
      <c r="U460">
        <v>280</v>
      </c>
      <c r="V460">
        <v>110</v>
      </c>
      <c r="W460">
        <v>2.2000000000000002</v>
      </c>
      <c r="X460" t="s">
        <v>156</v>
      </c>
      <c r="Y460">
        <v>12.5</v>
      </c>
      <c r="Z460">
        <v>0.15</v>
      </c>
      <c r="AA460">
        <v>0.02</v>
      </c>
      <c r="AB460">
        <v>14560</v>
      </c>
      <c r="AC460">
        <v>14269</v>
      </c>
      <c r="AD460">
        <v>114.4</v>
      </c>
      <c r="AE460">
        <v>2140.35</v>
      </c>
      <c r="AF460">
        <v>2140</v>
      </c>
      <c r="AG460">
        <v>5720</v>
      </c>
      <c r="AH460">
        <v>4268.6499999999996</v>
      </c>
      <c r="AI460" s="5">
        <v>0.29915551194897999</v>
      </c>
    </row>
    <row r="461" spans="14:35" x14ac:dyDescent="0.25">
      <c r="N461" t="s">
        <v>481</v>
      </c>
      <c r="O461" s="1">
        <v>46175.666666666664</v>
      </c>
      <c r="P461" t="s">
        <v>389</v>
      </c>
      <c r="Q461" t="s">
        <v>155</v>
      </c>
      <c r="R461" t="s">
        <v>29</v>
      </c>
      <c r="S461">
        <v>58</v>
      </c>
      <c r="T461" t="s">
        <v>390</v>
      </c>
      <c r="U461">
        <v>280</v>
      </c>
      <c r="V461">
        <v>110</v>
      </c>
      <c r="W461">
        <v>2.2000000000000002</v>
      </c>
      <c r="X461" t="s">
        <v>156</v>
      </c>
      <c r="Y461">
        <v>12.5</v>
      </c>
      <c r="Z461">
        <v>0.15</v>
      </c>
      <c r="AA461">
        <v>0.1</v>
      </c>
      <c r="AB461">
        <v>16240</v>
      </c>
      <c r="AC461">
        <v>14616</v>
      </c>
      <c r="AD461">
        <v>127.60000000000001</v>
      </c>
      <c r="AE461">
        <v>2192.4</v>
      </c>
      <c r="AF461">
        <v>2192</v>
      </c>
      <c r="AG461">
        <v>6380</v>
      </c>
      <c r="AH461">
        <v>3851.6000000000004</v>
      </c>
      <c r="AI461" s="5">
        <v>0.26351943076081003</v>
      </c>
    </row>
    <row r="462" spans="14:35" x14ac:dyDescent="0.25">
      <c r="N462" t="s">
        <v>482</v>
      </c>
      <c r="O462" s="1">
        <v>46176.625</v>
      </c>
      <c r="P462" t="s">
        <v>389</v>
      </c>
      <c r="Q462" t="s">
        <v>155</v>
      </c>
      <c r="R462" t="s">
        <v>24</v>
      </c>
      <c r="S462">
        <v>22</v>
      </c>
      <c r="T462" t="s">
        <v>390</v>
      </c>
      <c r="U462">
        <v>280</v>
      </c>
      <c r="V462">
        <v>110</v>
      </c>
      <c r="W462">
        <v>2.2000000000000002</v>
      </c>
      <c r="X462" t="s">
        <v>156</v>
      </c>
      <c r="Y462">
        <v>12.5</v>
      </c>
      <c r="Z462">
        <v>0.15</v>
      </c>
      <c r="AA462">
        <v>0.02</v>
      </c>
      <c r="AB462">
        <v>6160</v>
      </c>
      <c r="AC462">
        <v>6037</v>
      </c>
      <c r="AD462">
        <v>48.400000000000006</v>
      </c>
      <c r="AE462">
        <v>905.55</v>
      </c>
      <c r="AF462">
        <v>906</v>
      </c>
      <c r="AG462">
        <v>2420</v>
      </c>
      <c r="AH462">
        <v>1805.4499999999998</v>
      </c>
      <c r="AI462" s="5">
        <v>0.29906410468775901</v>
      </c>
    </row>
    <row r="463" spans="14:35" x14ac:dyDescent="0.25">
      <c r="N463" t="s">
        <v>483</v>
      </c>
      <c r="O463" s="1">
        <v>46177.375</v>
      </c>
      <c r="P463" t="s">
        <v>389</v>
      </c>
      <c r="Q463" t="s">
        <v>155</v>
      </c>
      <c r="R463" t="s">
        <v>29</v>
      </c>
      <c r="S463">
        <v>165</v>
      </c>
      <c r="T463" t="s">
        <v>390</v>
      </c>
      <c r="U463">
        <v>280</v>
      </c>
      <c r="V463">
        <v>110</v>
      </c>
      <c r="W463">
        <v>2.2000000000000002</v>
      </c>
      <c r="X463" t="s">
        <v>156</v>
      </c>
      <c r="Y463">
        <v>12.5</v>
      </c>
      <c r="Z463">
        <v>0.15</v>
      </c>
      <c r="AA463">
        <v>0.1</v>
      </c>
      <c r="AB463">
        <v>46200</v>
      </c>
      <c r="AC463">
        <v>41580</v>
      </c>
      <c r="AD463">
        <v>363.00000000000006</v>
      </c>
      <c r="AE463">
        <v>6237</v>
      </c>
      <c r="AF463">
        <v>6237</v>
      </c>
      <c r="AG463">
        <v>18150</v>
      </c>
      <c r="AH463">
        <v>10956</v>
      </c>
      <c r="AI463" s="5">
        <v>0.263492063492064</v>
      </c>
    </row>
    <row r="464" spans="14:35" x14ac:dyDescent="0.25">
      <c r="N464" t="s">
        <v>484</v>
      </c>
      <c r="O464" s="1">
        <v>46177.541666666664</v>
      </c>
      <c r="P464" t="s">
        <v>389</v>
      </c>
      <c r="Q464" t="s">
        <v>155</v>
      </c>
      <c r="R464" t="s">
        <v>29</v>
      </c>
      <c r="S464">
        <v>190</v>
      </c>
      <c r="T464" t="s">
        <v>390</v>
      </c>
      <c r="U464">
        <v>280</v>
      </c>
      <c r="V464">
        <v>110</v>
      </c>
      <c r="W464">
        <v>2.2000000000000002</v>
      </c>
      <c r="X464" t="s">
        <v>156</v>
      </c>
      <c r="Y464">
        <v>12.5</v>
      </c>
      <c r="Z464">
        <v>0.15</v>
      </c>
      <c r="AA464">
        <v>0.1</v>
      </c>
      <c r="AB464">
        <v>53200</v>
      </c>
      <c r="AC464">
        <v>47880</v>
      </c>
      <c r="AD464">
        <v>418.00000000000006</v>
      </c>
      <c r="AE464">
        <v>7182</v>
      </c>
      <c r="AF464">
        <v>7182</v>
      </c>
      <c r="AG464">
        <v>20900</v>
      </c>
      <c r="AH464">
        <v>12616</v>
      </c>
      <c r="AI464" s="5">
        <v>0.263492063492064</v>
      </c>
    </row>
    <row r="465" spans="14:35" x14ac:dyDescent="0.25">
      <c r="N465" t="s">
        <v>485</v>
      </c>
      <c r="O465" s="1">
        <v>46177.958333333336</v>
      </c>
      <c r="P465" t="s">
        <v>389</v>
      </c>
      <c r="Q465" t="s">
        <v>155</v>
      </c>
      <c r="R465" t="s">
        <v>32</v>
      </c>
      <c r="S465">
        <v>10</v>
      </c>
      <c r="T465" t="s">
        <v>390</v>
      </c>
      <c r="U465">
        <v>280</v>
      </c>
      <c r="V465">
        <v>110</v>
      </c>
      <c r="W465">
        <v>2.2000000000000002</v>
      </c>
      <c r="X465" t="s">
        <v>156</v>
      </c>
      <c r="Y465">
        <v>12.5</v>
      </c>
      <c r="Z465">
        <v>0.15</v>
      </c>
      <c r="AA465">
        <v>0.05</v>
      </c>
      <c r="AB465">
        <v>2800</v>
      </c>
      <c r="AC465">
        <v>2660</v>
      </c>
      <c r="AD465">
        <v>22</v>
      </c>
      <c r="AE465">
        <v>399</v>
      </c>
      <c r="AF465">
        <v>399</v>
      </c>
      <c r="AG465">
        <v>1100</v>
      </c>
      <c r="AH465">
        <v>762</v>
      </c>
      <c r="AI465" s="5">
        <v>0.28646616541353398</v>
      </c>
    </row>
    <row r="466" spans="14:35" x14ac:dyDescent="0.25">
      <c r="N466" t="s">
        <v>486</v>
      </c>
      <c r="O466" s="1">
        <v>46178.125</v>
      </c>
      <c r="P466" t="s">
        <v>389</v>
      </c>
      <c r="Q466" t="s">
        <v>155</v>
      </c>
      <c r="R466" t="s">
        <v>24</v>
      </c>
      <c r="S466">
        <v>63</v>
      </c>
      <c r="T466" t="s">
        <v>390</v>
      </c>
      <c r="U466">
        <v>280</v>
      </c>
      <c r="V466">
        <v>110</v>
      </c>
      <c r="W466">
        <v>2.2000000000000002</v>
      </c>
      <c r="X466" t="s">
        <v>156</v>
      </c>
      <c r="Y466">
        <v>12.5</v>
      </c>
      <c r="Z466">
        <v>0.15</v>
      </c>
      <c r="AA466">
        <v>0.02</v>
      </c>
      <c r="AB466">
        <v>17640</v>
      </c>
      <c r="AC466">
        <v>17287</v>
      </c>
      <c r="AD466">
        <v>138.60000000000002</v>
      </c>
      <c r="AE466">
        <v>2593.0499999999997</v>
      </c>
      <c r="AF466">
        <v>2593</v>
      </c>
      <c r="AG466">
        <v>6930</v>
      </c>
      <c r="AH466">
        <v>5170.9500000000007</v>
      </c>
      <c r="AI466" s="5">
        <v>0.299123618904379</v>
      </c>
    </row>
    <row r="467" spans="14:35" x14ac:dyDescent="0.25">
      <c r="N467" t="s">
        <v>487</v>
      </c>
      <c r="O467" s="1">
        <v>46178.75</v>
      </c>
      <c r="P467" t="s">
        <v>389</v>
      </c>
      <c r="Q467" t="s">
        <v>155</v>
      </c>
      <c r="R467" t="s">
        <v>32</v>
      </c>
      <c r="S467">
        <v>198</v>
      </c>
      <c r="T467" t="s">
        <v>390</v>
      </c>
      <c r="U467">
        <v>280</v>
      </c>
      <c r="V467">
        <v>110</v>
      </c>
      <c r="W467">
        <v>2.2000000000000002</v>
      </c>
      <c r="X467" t="s">
        <v>156</v>
      </c>
      <c r="Y467">
        <v>12.5</v>
      </c>
      <c r="Z467">
        <v>0.15</v>
      </c>
      <c r="AA467">
        <v>0.05</v>
      </c>
      <c r="AB467">
        <v>55440</v>
      </c>
      <c r="AC467">
        <v>52668</v>
      </c>
      <c r="AD467">
        <v>435.6</v>
      </c>
      <c r="AE467">
        <v>7900.2</v>
      </c>
      <c r="AF467">
        <v>7900</v>
      </c>
      <c r="AG467">
        <v>21780</v>
      </c>
      <c r="AH467">
        <v>15087.800000000003</v>
      </c>
      <c r="AI467" s="5">
        <v>0.28646996278575199</v>
      </c>
    </row>
    <row r="468" spans="14:35" x14ac:dyDescent="0.25">
      <c r="N468" t="s">
        <v>488</v>
      </c>
      <c r="O468" s="1">
        <v>46179.583333333336</v>
      </c>
      <c r="P468" t="s">
        <v>389</v>
      </c>
      <c r="Q468" t="s">
        <v>155</v>
      </c>
      <c r="R468" t="s">
        <v>29</v>
      </c>
      <c r="S468">
        <v>83</v>
      </c>
      <c r="T468" t="s">
        <v>390</v>
      </c>
      <c r="U468">
        <v>280</v>
      </c>
      <c r="V468">
        <v>110</v>
      </c>
      <c r="W468">
        <v>2.2000000000000002</v>
      </c>
      <c r="X468" t="s">
        <v>156</v>
      </c>
      <c r="Y468">
        <v>12.5</v>
      </c>
      <c r="Z468">
        <v>0.15</v>
      </c>
      <c r="AA468">
        <v>0.1</v>
      </c>
      <c r="AB468">
        <v>23240</v>
      </c>
      <c r="AC468">
        <v>20916</v>
      </c>
      <c r="AD468">
        <v>182.60000000000002</v>
      </c>
      <c r="AE468">
        <v>3137.4</v>
      </c>
      <c r="AF468">
        <v>3137</v>
      </c>
      <c r="AG468">
        <v>9130</v>
      </c>
      <c r="AH468">
        <v>5511.6</v>
      </c>
      <c r="AI468" s="5">
        <v>0.26351118760757303</v>
      </c>
    </row>
    <row r="469" spans="14:35" x14ac:dyDescent="0.25">
      <c r="N469" t="s">
        <v>489</v>
      </c>
      <c r="O469" s="1">
        <v>46179.666666666664</v>
      </c>
      <c r="P469" t="s">
        <v>389</v>
      </c>
      <c r="Q469" t="s">
        <v>155</v>
      </c>
      <c r="R469" t="s">
        <v>29</v>
      </c>
      <c r="S469">
        <v>30</v>
      </c>
      <c r="T469" t="s">
        <v>390</v>
      </c>
      <c r="U469">
        <v>280</v>
      </c>
      <c r="V469">
        <v>110</v>
      </c>
      <c r="W469">
        <v>2.2000000000000002</v>
      </c>
      <c r="X469" t="s">
        <v>156</v>
      </c>
      <c r="Y469">
        <v>12.5</v>
      </c>
      <c r="Z469">
        <v>0.15</v>
      </c>
      <c r="AA469">
        <v>0.1</v>
      </c>
      <c r="AB469">
        <v>8400</v>
      </c>
      <c r="AC469">
        <v>7560</v>
      </c>
      <c r="AD469">
        <v>66</v>
      </c>
      <c r="AE469">
        <v>1134</v>
      </c>
      <c r="AF469">
        <v>1134</v>
      </c>
      <c r="AG469">
        <v>3300</v>
      </c>
      <c r="AH469">
        <v>1992</v>
      </c>
      <c r="AI469" s="5">
        <v>0.263492063492064</v>
      </c>
    </row>
    <row r="470" spans="14:35" x14ac:dyDescent="0.25">
      <c r="N470" t="s">
        <v>490</v>
      </c>
      <c r="O470" s="1">
        <v>46180.125</v>
      </c>
      <c r="P470" t="s">
        <v>389</v>
      </c>
      <c r="Q470" t="s">
        <v>155</v>
      </c>
      <c r="R470" t="s">
        <v>29</v>
      </c>
      <c r="S470">
        <v>105</v>
      </c>
      <c r="T470" t="s">
        <v>390</v>
      </c>
      <c r="U470">
        <v>280</v>
      </c>
      <c r="V470">
        <v>110</v>
      </c>
      <c r="W470">
        <v>2.2000000000000002</v>
      </c>
      <c r="X470" t="s">
        <v>156</v>
      </c>
      <c r="Y470">
        <v>12.5</v>
      </c>
      <c r="Z470">
        <v>0.15</v>
      </c>
      <c r="AA470">
        <v>0.1</v>
      </c>
      <c r="AB470">
        <v>29400</v>
      </c>
      <c r="AC470">
        <v>26460</v>
      </c>
      <c r="AD470">
        <v>231.00000000000003</v>
      </c>
      <c r="AE470">
        <v>3969</v>
      </c>
      <c r="AF470">
        <v>3969</v>
      </c>
      <c r="AG470">
        <v>11550</v>
      </c>
      <c r="AH470">
        <v>6972</v>
      </c>
      <c r="AI470" s="5">
        <v>0.263492063492064</v>
      </c>
    </row>
    <row r="471" spans="14:35" x14ac:dyDescent="0.25">
      <c r="N471" t="s">
        <v>491</v>
      </c>
      <c r="O471" s="1">
        <v>46180.25</v>
      </c>
      <c r="P471" t="s">
        <v>389</v>
      </c>
      <c r="Q471" t="s">
        <v>155</v>
      </c>
      <c r="R471" t="s">
        <v>29</v>
      </c>
      <c r="S471">
        <v>21</v>
      </c>
      <c r="T471" t="s">
        <v>390</v>
      </c>
      <c r="U471">
        <v>280</v>
      </c>
      <c r="V471">
        <v>110</v>
      </c>
      <c r="W471">
        <v>2.2000000000000002</v>
      </c>
      <c r="X471" t="s">
        <v>156</v>
      </c>
      <c r="Y471">
        <v>12.5</v>
      </c>
      <c r="Z471">
        <v>0.15</v>
      </c>
      <c r="AA471">
        <v>0.1</v>
      </c>
      <c r="AB471">
        <v>5880</v>
      </c>
      <c r="AC471">
        <v>5292</v>
      </c>
      <c r="AD471">
        <v>46.2</v>
      </c>
      <c r="AE471">
        <v>793.8</v>
      </c>
      <c r="AF471">
        <v>794</v>
      </c>
      <c r="AG471">
        <v>2310</v>
      </c>
      <c r="AH471">
        <v>1394.1999999999998</v>
      </c>
      <c r="AI471" s="5">
        <v>0.263454270597128</v>
      </c>
    </row>
    <row r="472" spans="14:35" x14ac:dyDescent="0.25">
      <c r="N472" t="s">
        <v>492</v>
      </c>
      <c r="O472" s="1">
        <v>46180.416666666664</v>
      </c>
      <c r="P472" t="s">
        <v>389</v>
      </c>
      <c r="Q472" t="s">
        <v>155</v>
      </c>
      <c r="R472" t="s">
        <v>24</v>
      </c>
      <c r="S472">
        <v>127</v>
      </c>
      <c r="T472" t="s">
        <v>390</v>
      </c>
      <c r="U472">
        <v>280</v>
      </c>
      <c r="V472">
        <v>110</v>
      </c>
      <c r="W472">
        <v>2.2000000000000002</v>
      </c>
      <c r="X472" t="s">
        <v>156</v>
      </c>
      <c r="Y472">
        <v>12.5</v>
      </c>
      <c r="Z472">
        <v>0.15</v>
      </c>
      <c r="AA472">
        <v>0.02</v>
      </c>
      <c r="AB472">
        <v>35560</v>
      </c>
      <c r="AC472">
        <v>34849</v>
      </c>
      <c r="AD472">
        <v>279.40000000000003</v>
      </c>
      <c r="AE472">
        <v>5227.3499999999995</v>
      </c>
      <c r="AF472">
        <v>5227</v>
      </c>
      <c r="AG472">
        <v>13970</v>
      </c>
      <c r="AH472">
        <v>10424.650000000001</v>
      </c>
      <c r="AI472" s="5">
        <v>0.29913770839909298</v>
      </c>
    </row>
    <row r="473" spans="14:35" x14ac:dyDescent="0.25">
      <c r="N473" t="s">
        <v>493</v>
      </c>
      <c r="O473" s="1">
        <v>46180.583333333336</v>
      </c>
      <c r="P473" t="s">
        <v>389</v>
      </c>
      <c r="Q473" t="s">
        <v>155</v>
      </c>
      <c r="R473" t="s">
        <v>24</v>
      </c>
      <c r="S473">
        <v>12</v>
      </c>
      <c r="T473" t="s">
        <v>390</v>
      </c>
      <c r="U473">
        <v>280</v>
      </c>
      <c r="V473">
        <v>110</v>
      </c>
      <c r="W473">
        <v>2.2000000000000002</v>
      </c>
      <c r="X473" t="s">
        <v>156</v>
      </c>
      <c r="Y473">
        <v>12.5</v>
      </c>
      <c r="Z473">
        <v>0.15</v>
      </c>
      <c r="AA473">
        <v>0.02</v>
      </c>
      <c r="AB473">
        <v>3360</v>
      </c>
      <c r="AC473">
        <v>3293</v>
      </c>
      <c r="AD473">
        <v>26.400000000000002</v>
      </c>
      <c r="AE473">
        <v>493.95</v>
      </c>
      <c r="AF473">
        <v>494</v>
      </c>
      <c r="AG473">
        <v>1320</v>
      </c>
      <c r="AH473">
        <v>985.05000000000018</v>
      </c>
      <c r="AI473" s="5">
        <v>0.29913452778621302</v>
      </c>
    </row>
    <row r="474" spans="14:35" x14ac:dyDescent="0.25">
      <c r="N474" t="s">
        <v>494</v>
      </c>
      <c r="O474" s="1">
        <v>46180.75</v>
      </c>
      <c r="P474" t="s">
        <v>389</v>
      </c>
      <c r="Q474" t="s">
        <v>155</v>
      </c>
      <c r="R474" t="s">
        <v>24</v>
      </c>
      <c r="S474">
        <v>178</v>
      </c>
      <c r="T474" t="s">
        <v>390</v>
      </c>
      <c r="U474">
        <v>280</v>
      </c>
      <c r="V474">
        <v>110</v>
      </c>
      <c r="W474">
        <v>2.2000000000000002</v>
      </c>
      <c r="X474" t="s">
        <v>156</v>
      </c>
      <c r="Y474">
        <v>12.5</v>
      </c>
      <c r="Z474">
        <v>0.15</v>
      </c>
      <c r="AA474">
        <v>0.02</v>
      </c>
      <c r="AB474">
        <v>49840</v>
      </c>
      <c r="AC474">
        <v>48843</v>
      </c>
      <c r="AD474">
        <v>391.6</v>
      </c>
      <c r="AE474">
        <v>7326.45</v>
      </c>
      <c r="AF474">
        <v>7326</v>
      </c>
      <c r="AG474">
        <v>19580</v>
      </c>
      <c r="AH474">
        <v>14610.550000000003</v>
      </c>
      <c r="AI474" s="5">
        <v>0.29913293614233399</v>
      </c>
    </row>
    <row r="475" spans="14:35" x14ac:dyDescent="0.25">
      <c r="N475" t="s">
        <v>495</v>
      </c>
      <c r="O475" s="1">
        <v>46181.583333333336</v>
      </c>
      <c r="P475" t="s">
        <v>389</v>
      </c>
      <c r="Q475" t="s">
        <v>155</v>
      </c>
      <c r="R475" t="s">
        <v>24</v>
      </c>
      <c r="S475">
        <v>151</v>
      </c>
      <c r="T475" t="s">
        <v>390</v>
      </c>
      <c r="U475">
        <v>280</v>
      </c>
      <c r="V475">
        <v>110</v>
      </c>
      <c r="W475">
        <v>2.2000000000000002</v>
      </c>
      <c r="X475" t="s">
        <v>156</v>
      </c>
      <c r="Y475">
        <v>12.5</v>
      </c>
      <c r="Z475">
        <v>0.15</v>
      </c>
      <c r="AA475">
        <v>0.02</v>
      </c>
      <c r="AB475">
        <v>42280</v>
      </c>
      <c r="AC475">
        <v>41434</v>
      </c>
      <c r="AD475">
        <v>332.20000000000005</v>
      </c>
      <c r="AE475">
        <v>6215.0999999999995</v>
      </c>
      <c r="AF475">
        <v>6215</v>
      </c>
      <c r="AG475">
        <v>16610</v>
      </c>
      <c r="AH475">
        <v>12393.900000000001</v>
      </c>
      <c r="AI475" s="5">
        <v>0.299123907901723</v>
      </c>
    </row>
    <row r="476" spans="14:35" x14ac:dyDescent="0.25">
      <c r="N476" t="s">
        <v>496</v>
      </c>
      <c r="O476" s="1">
        <v>46181.625</v>
      </c>
      <c r="P476" t="s">
        <v>389</v>
      </c>
      <c r="Q476" t="s">
        <v>155</v>
      </c>
      <c r="R476" t="s">
        <v>29</v>
      </c>
      <c r="S476">
        <v>168</v>
      </c>
      <c r="T476" t="s">
        <v>390</v>
      </c>
      <c r="U476">
        <v>280</v>
      </c>
      <c r="V476">
        <v>110</v>
      </c>
      <c r="W476">
        <v>2.2000000000000002</v>
      </c>
      <c r="X476" t="s">
        <v>156</v>
      </c>
      <c r="Y476">
        <v>12.5</v>
      </c>
      <c r="Z476">
        <v>0.15</v>
      </c>
      <c r="AA476">
        <v>0.1</v>
      </c>
      <c r="AB476">
        <v>47040</v>
      </c>
      <c r="AC476">
        <v>42336</v>
      </c>
      <c r="AD476">
        <v>369.6</v>
      </c>
      <c r="AE476">
        <v>6350.4</v>
      </c>
      <c r="AF476">
        <v>6350</v>
      </c>
      <c r="AG476">
        <v>18480</v>
      </c>
      <c r="AH476">
        <v>11155.599999999999</v>
      </c>
      <c r="AI476" s="5">
        <v>0.263501511715797</v>
      </c>
    </row>
    <row r="477" spans="14:35" x14ac:dyDescent="0.25">
      <c r="N477" t="s">
        <v>497</v>
      </c>
      <c r="O477" s="1">
        <v>46183.291666666664</v>
      </c>
      <c r="P477" t="s">
        <v>389</v>
      </c>
      <c r="Q477" t="s">
        <v>155</v>
      </c>
      <c r="R477" t="s">
        <v>24</v>
      </c>
      <c r="S477">
        <v>50</v>
      </c>
      <c r="T477" t="s">
        <v>390</v>
      </c>
      <c r="U477">
        <v>280</v>
      </c>
      <c r="V477">
        <v>110</v>
      </c>
      <c r="W477">
        <v>2.2000000000000002</v>
      </c>
      <c r="X477" t="s">
        <v>156</v>
      </c>
      <c r="Y477">
        <v>12.5</v>
      </c>
      <c r="Z477">
        <v>0.15</v>
      </c>
      <c r="AA477">
        <v>0.02</v>
      </c>
      <c r="AB477">
        <v>14000</v>
      </c>
      <c r="AC477">
        <v>13720</v>
      </c>
      <c r="AD477">
        <v>110.00000000000001</v>
      </c>
      <c r="AE477">
        <v>2058</v>
      </c>
      <c r="AF477">
        <v>2058</v>
      </c>
      <c r="AG477">
        <v>5500</v>
      </c>
      <c r="AH477">
        <v>4104</v>
      </c>
      <c r="AI477" s="5">
        <v>0.29912536443148702</v>
      </c>
    </row>
    <row r="478" spans="14:35" x14ac:dyDescent="0.25">
      <c r="N478" t="s">
        <v>498</v>
      </c>
      <c r="O478" s="1">
        <v>46183.666666666664</v>
      </c>
      <c r="P478" t="s">
        <v>389</v>
      </c>
      <c r="Q478" t="s">
        <v>155</v>
      </c>
      <c r="R478" t="s">
        <v>32</v>
      </c>
      <c r="S478">
        <v>86</v>
      </c>
      <c r="T478" t="s">
        <v>390</v>
      </c>
      <c r="U478">
        <v>280</v>
      </c>
      <c r="V478">
        <v>110</v>
      </c>
      <c r="W478">
        <v>2.2000000000000002</v>
      </c>
      <c r="X478" t="s">
        <v>156</v>
      </c>
      <c r="Y478">
        <v>12.5</v>
      </c>
      <c r="Z478">
        <v>0.15</v>
      </c>
      <c r="AA478">
        <v>0.05</v>
      </c>
      <c r="AB478">
        <v>24080</v>
      </c>
      <c r="AC478">
        <v>22876</v>
      </c>
      <c r="AD478">
        <v>189.20000000000002</v>
      </c>
      <c r="AE478">
        <v>3431.4</v>
      </c>
      <c r="AF478">
        <v>3431</v>
      </c>
      <c r="AG478">
        <v>9460</v>
      </c>
      <c r="AH478">
        <v>6553.6</v>
      </c>
      <c r="AI478" s="5">
        <v>0.28648365098793499</v>
      </c>
    </row>
    <row r="479" spans="14:35" x14ac:dyDescent="0.25">
      <c r="N479" t="s">
        <v>499</v>
      </c>
      <c r="O479" s="1">
        <v>46184.125</v>
      </c>
      <c r="P479" t="s">
        <v>389</v>
      </c>
      <c r="Q479" t="s">
        <v>155</v>
      </c>
      <c r="R479" t="s">
        <v>24</v>
      </c>
      <c r="S479">
        <v>20</v>
      </c>
      <c r="T479" t="s">
        <v>390</v>
      </c>
      <c r="U479">
        <v>280</v>
      </c>
      <c r="V479">
        <v>110</v>
      </c>
      <c r="W479">
        <v>2.2000000000000002</v>
      </c>
      <c r="X479" t="s">
        <v>156</v>
      </c>
      <c r="Y479">
        <v>12.5</v>
      </c>
      <c r="Z479">
        <v>0.15</v>
      </c>
      <c r="AA479">
        <v>0.02</v>
      </c>
      <c r="AB479">
        <v>5600</v>
      </c>
      <c r="AC479">
        <v>5488</v>
      </c>
      <c r="AD479">
        <v>44</v>
      </c>
      <c r="AE479">
        <v>823.19999999999993</v>
      </c>
      <c r="AF479">
        <v>823</v>
      </c>
      <c r="AG479">
        <v>2200</v>
      </c>
      <c r="AH479">
        <v>1641.8000000000002</v>
      </c>
      <c r="AI479" s="5">
        <v>0.29916180758017502</v>
      </c>
    </row>
    <row r="480" spans="14:35" x14ac:dyDescent="0.25">
      <c r="N480" t="s">
        <v>500</v>
      </c>
      <c r="O480" s="1">
        <v>46184.5</v>
      </c>
      <c r="P480" t="s">
        <v>389</v>
      </c>
      <c r="Q480" t="s">
        <v>155</v>
      </c>
      <c r="R480" t="s">
        <v>24</v>
      </c>
      <c r="S480">
        <v>111</v>
      </c>
      <c r="T480" t="s">
        <v>390</v>
      </c>
      <c r="U480">
        <v>280</v>
      </c>
      <c r="V480">
        <v>110</v>
      </c>
      <c r="W480">
        <v>2.2000000000000002</v>
      </c>
      <c r="X480" t="s">
        <v>156</v>
      </c>
      <c r="Y480">
        <v>12.5</v>
      </c>
      <c r="Z480">
        <v>0.15</v>
      </c>
      <c r="AA480">
        <v>0.02</v>
      </c>
      <c r="AB480">
        <v>31080</v>
      </c>
      <c r="AC480">
        <v>30458</v>
      </c>
      <c r="AD480">
        <v>244.20000000000002</v>
      </c>
      <c r="AE480">
        <v>4568.7</v>
      </c>
      <c r="AF480">
        <v>4569</v>
      </c>
      <c r="AG480">
        <v>12210</v>
      </c>
      <c r="AH480">
        <v>9110.2999999999993</v>
      </c>
      <c r="AI480" s="5">
        <v>0.29911025018057602</v>
      </c>
    </row>
    <row r="481" spans="14:35" x14ac:dyDescent="0.25">
      <c r="N481" t="s">
        <v>501</v>
      </c>
      <c r="O481" s="1">
        <v>46144</v>
      </c>
      <c r="P481" t="s">
        <v>389</v>
      </c>
      <c r="Q481" t="s">
        <v>277</v>
      </c>
      <c r="R481" t="s">
        <v>24</v>
      </c>
      <c r="S481">
        <v>68</v>
      </c>
      <c r="T481" t="s">
        <v>390</v>
      </c>
      <c r="U481">
        <v>280</v>
      </c>
      <c r="V481">
        <v>110</v>
      </c>
      <c r="W481">
        <v>2.2000000000000002</v>
      </c>
      <c r="X481" t="s">
        <v>278</v>
      </c>
      <c r="Y481">
        <v>8</v>
      </c>
      <c r="Z481">
        <v>0.12</v>
      </c>
      <c r="AA481">
        <v>0.02</v>
      </c>
      <c r="AB481">
        <v>19040</v>
      </c>
      <c r="AC481">
        <v>18659</v>
      </c>
      <c r="AD481">
        <v>149.60000000000002</v>
      </c>
      <c r="AE481">
        <v>2239.08</v>
      </c>
      <c r="AF481">
        <v>2239</v>
      </c>
      <c r="AG481">
        <v>7480</v>
      </c>
      <c r="AH481">
        <v>6700.92</v>
      </c>
      <c r="AI481" s="5">
        <v>0.35912535505654097</v>
      </c>
    </row>
    <row r="482" spans="14:35" x14ac:dyDescent="0.25">
      <c r="N482" t="s">
        <v>502</v>
      </c>
      <c r="O482" s="1">
        <v>46144.083333333336</v>
      </c>
      <c r="P482" t="s">
        <v>389</v>
      </c>
      <c r="Q482" t="s">
        <v>277</v>
      </c>
      <c r="R482" t="s">
        <v>29</v>
      </c>
      <c r="S482">
        <v>15</v>
      </c>
      <c r="T482" t="s">
        <v>390</v>
      </c>
      <c r="U482">
        <v>280</v>
      </c>
      <c r="V482">
        <v>110</v>
      </c>
      <c r="W482">
        <v>2.2000000000000002</v>
      </c>
      <c r="X482" t="s">
        <v>278</v>
      </c>
      <c r="Y482">
        <v>8</v>
      </c>
      <c r="Z482">
        <v>0.12</v>
      </c>
      <c r="AA482">
        <v>0.1</v>
      </c>
      <c r="AB482">
        <v>4200</v>
      </c>
      <c r="AC482">
        <v>3780</v>
      </c>
      <c r="AD482">
        <v>33</v>
      </c>
      <c r="AE482">
        <v>453.59999999999997</v>
      </c>
      <c r="AF482">
        <v>454</v>
      </c>
      <c r="AG482">
        <v>1650</v>
      </c>
      <c r="AH482">
        <v>1222.4000000000001</v>
      </c>
      <c r="AI482" s="5">
        <v>0.323386243386243</v>
      </c>
    </row>
    <row r="483" spans="14:35" x14ac:dyDescent="0.25">
      <c r="N483" t="s">
        <v>503</v>
      </c>
      <c r="O483" s="1">
        <v>46144.541666666664</v>
      </c>
      <c r="P483" t="s">
        <v>389</v>
      </c>
      <c r="Q483" t="s">
        <v>277</v>
      </c>
      <c r="R483" t="s">
        <v>24</v>
      </c>
      <c r="S483">
        <v>149</v>
      </c>
      <c r="T483" t="s">
        <v>390</v>
      </c>
      <c r="U483">
        <v>280</v>
      </c>
      <c r="V483">
        <v>110</v>
      </c>
      <c r="W483">
        <v>2.2000000000000002</v>
      </c>
      <c r="X483" t="s">
        <v>278</v>
      </c>
      <c r="Y483">
        <v>8</v>
      </c>
      <c r="Z483">
        <v>0.12</v>
      </c>
      <c r="AA483">
        <v>0.02</v>
      </c>
      <c r="AB483">
        <v>41720</v>
      </c>
      <c r="AC483">
        <v>40886</v>
      </c>
      <c r="AD483">
        <v>327.8</v>
      </c>
      <c r="AE483">
        <v>4906.32</v>
      </c>
      <c r="AF483">
        <v>4906</v>
      </c>
      <c r="AG483">
        <v>16390</v>
      </c>
      <c r="AH483">
        <v>14683.68</v>
      </c>
      <c r="AI483" s="5">
        <v>0.359137112948197</v>
      </c>
    </row>
    <row r="484" spans="14:35" x14ac:dyDescent="0.25">
      <c r="N484" t="s">
        <v>504</v>
      </c>
      <c r="O484" s="1">
        <v>46145.791666666664</v>
      </c>
      <c r="P484" t="s">
        <v>389</v>
      </c>
      <c r="Q484" t="s">
        <v>277</v>
      </c>
      <c r="R484" t="s">
        <v>29</v>
      </c>
      <c r="S484">
        <v>55</v>
      </c>
      <c r="T484" t="s">
        <v>390</v>
      </c>
      <c r="U484">
        <v>280</v>
      </c>
      <c r="V484">
        <v>110</v>
      </c>
      <c r="W484">
        <v>2.2000000000000002</v>
      </c>
      <c r="X484" t="s">
        <v>278</v>
      </c>
      <c r="Y484">
        <v>8</v>
      </c>
      <c r="Z484">
        <v>0.12</v>
      </c>
      <c r="AA484">
        <v>0.1</v>
      </c>
      <c r="AB484">
        <v>15400</v>
      </c>
      <c r="AC484">
        <v>13860</v>
      </c>
      <c r="AD484">
        <v>121.00000000000001</v>
      </c>
      <c r="AE484">
        <v>1663.2</v>
      </c>
      <c r="AF484">
        <v>1663</v>
      </c>
      <c r="AG484">
        <v>6050</v>
      </c>
      <c r="AH484">
        <v>4483.7999999999993</v>
      </c>
      <c r="AI484" s="5">
        <v>0.32350649350649302</v>
      </c>
    </row>
    <row r="485" spans="14:35" x14ac:dyDescent="0.25">
      <c r="N485" t="s">
        <v>505</v>
      </c>
      <c r="O485" s="1">
        <v>46146.375</v>
      </c>
      <c r="P485" t="s">
        <v>389</v>
      </c>
      <c r="Q485" t="s">
        <v>277</v>
      </c>
      <c r="R485" t="s">
        <v>24</v>
      </c>
      <c r="S485">
        <v>141</v>
      </c>
      <c r="T485" t="s">
        <v>390</v>
      </c>
      <c r="U485">
        <v>280</v>
      </c>
      <c r="V485">
        <v>110</v>
      </c>
      <c r="W485">
        <v>2.2000000000000002</v>
      </c>
      <c r="X485" t="s">
        <v>278</v>
      </c>
      <c r="Y485">
        <v>8</v>
      </c>
      <c r="Z485">
        <v>0.12</v>
      </c>
      <c r="AA485">
        <v>0.02</v>
      </c>
      <c r="AB485">
        <v>39480</v>
      </c>
      <c r="AC485">
        <v>38690</v>
      </c>
      <c r="AD485">
        <v>310.20000000000005</v>
      </c>
      <c r="AE485">
        <v>4642.8</v>
      </c>
      <c r="AF485">
        <v>4643</v>
      </c>
      <c r="AG485">
        <v>15510</v>
      </c>
      <c r="AH485">
        <v>13894.2</v>
      </c>
      <c r="AI485" s="5">
        <v>0.35911605065908497</v>
      </c>
    </row>
    <row r="486" spans="14:35" x14ac:dyDescent="0.25">
      <c r="N486" t="s">
        <v>506</v>
      </c>
      <c r="O486" s="1">
        <v>46146.791666666664</v>
      </c>
      <c r="P486" t="s">
        <v>389</v>
      </c>
      <c r="Q486" t="s">
        <v>277</v>
      </c>
      <c r="R486" t="s">
        <v>24</v>
      </c>
      <c r="S486">
        <v>176</v>
      </c>
      <c r="T486" t="s">
        <v>390</v>
      </c>
      <c r="U486">
        <v>280</v>
      </c>
      <c r="V486">
        <v>110</v>
      </c>
      <c r="W486">
        <v>2.2000000000000002</v>
      </c>
      <c r="X486" t="s">
        <v>278</v>
      </c>
      <c r="Y486">
        <v>8</v>
      </c>
      <c r="Z486">
        <v>0.12</v>
      </c>
      <c r="AA486">
        <v>0.02</v>
      </c>
      <c r="AB486">
        <v>49280</v>
      </c>
      <c r="AC486">
        <v>48294</v>
      </c>
      <c r="AD486">
        <v>387.20000000000005</v>
      </c>
      <c r="AE486">
        <v>5795.28</v>
      </c>
      <c r="AF486">
        <v>5795</v>
      </c>
      <c r="AG486">
        <v>19360</v>
      </c>
      <c r="AH486">
        <v>17343.72</v>
      </c>
      <c r="AI486" s="5">
        <v>0.359127841967946</v>
      </c>
    </row>
    <row r="487" spans="14:35" x14ac:dyDescent="0.25">
      <c r="N487" t="s">
        <v>507</v>
      </c>
      <c r="O487" s="1">
        <v>46146.916666666664</v>
      </c>
      <c r="P487" t="s">
        <v>389</v>
      </c>
      <c r="Q487" t="s">
        <v>277</v>
      </c>
      <c r="R487" t="s">
        <v>32</v>
      </c>
      <c r="S487">
        <v>53</v>
      </c>
      <c r="T487" t="s">
        <v>390</v>
      </c>
      <c r="U487">
        <v>280</v>
      </c>
      <c r="V487">
        <v>110</v>
      </c>
      <c r="W487">
        <v>2.2000000000000002</v>
      </c>
      <c r="X487" t="s">
        <v>278</v>
      </c>
      <c r="Y487">
        <v>8</v>
      </c>
      <c r="Z487">
        <v>0.12</v>
      </c>
      <c r="AA487">
        <v>0.05</v>
      </c>
      <c r="AB487">
        <v>14840</v>
      </c>
      <c r="AC487">
        <v>14098</v>
      </c>
      <c r="AD487">
        <v>116.60000000000001</v>
      </c>
      <c r="AE487">
        <v>1691.76</v>
      </c>
      <c r="AF487">
        <v>1692</v>
      </c>
      <c r="AG487">
        <v>5830</v>
      </c>
      <c r="AH487">
        <v>4884.24</v>
      </c>
      <c r="AI487" s="5">
        <v>0.34644914172223001</v>
      </c>
    </row>
    <row r="488" spans="14:35" x14ac:dyDescent="0.25">
      <c r="N488" t="s">
        <v>508</v>
      </c>
      <c r="O488" s="1">
        <v>46147.416666666664</v>
      </c>
      <c r="P488" t="s">
        <v>389</v>
      </c>
      <c r="Q488" t="s">
        <v>277</v>
      </c>
      <c r="R488" t="s">
        <v>32</v>
      </c>
      <c r="S488">
        <v>29</v>
      </c>
      <c r="T488" t="s">
        <v>390</v>
      </c>
      <c r="U488">
        <v>280</v>
      </c>
      <c r="V488">
        <v>110</v>
      </c>
      <c r="W488">
        <v>2.2000000000000002</v>
      </c>
      <c r="X488" t="s">
        <v>278</v>
      </c>
      <c r="Y488">
        <v>8</v>
      </c>
      <c r="Z488">
        <v>0.12</v>
      </c>
      <c r="AA488">
        <v>0.05</v>
      </c>
      <c r="AB488">
        <v>8120</v>
      </c>
      <c r="AC488">
        <v>7714</v>
      </c>
      <c r="AD488">
        <v>63.800000000000004</v>
      </c>
      <c r="AE488">
        <v>925.68</v>
      </c>
      <c r="AF488">
        <v>926</v>
      </c>
      <c r="AG488">
        <v>3190</v>
      </c>
      <c r="AH488">
        <v>2672.3199999999997</v>
      </c>
      <c r="AI488" s="5">
        <v>0.346424682395644</v>
      </c>
    </row>
    <row r="489" spans="14:35" x14ac:dyDescent="0.25">
      <c r="N489" t="s">
        <v>509</v>
      </c>
      <c r="O489" s="1">
        <v>46147.75</v>
      </c>
      <c r="P489" t="s">
        <v>389</v>
      </c>
      <c r="Q489" t="s">
        <v>277</v>
      </c>
      <c r="R489" t="s">
        <v>29</v>
      </c>
      <c r="S489">
        <v>26</v>
      </c>
      <c r="T489" t="s">
        <v>390</v>
      </c>
      <c r="U489">
        <v>280</v>
      </c>
      <c r="V489">
        <v>110</v>
      </c>
      <c r="W489">
        <v>2.2000000000000002</v>
      </c>
      <c r="X489" t="s">
        <v>278</v>
      </c>
      <c r="Y489">
        <v>8</v>
      </c>
      <c r="Z489">
        <v>0.12</v>
      </c>
      <c r="AA489">
        <v>0.1</v>
      </c>
      <c r="AB489">
        <v>7280</v>
      </c>
      <c r="AC489">
        <v>6552</v>
      </c>
      <c r="AD489">
        <v>57.2</v>
      </c>
      <c r="AE489">
        <v>786.24</v>
      </c>
      <c r="AF489">
        <v>786</v>
      </c>
      <c r="AG489">
        <v>2860</v>
      </c>
      <c r="AH489">
        <v>2119.7600000000002</v>
      </c>
      <c r="AI489" s="5">
        <v>0.32352869352869401</v>
      </c>
    </row>
    <row r="490" spans="14:35" x14ac:dyDescent="0.25">
      <c r="N490" t="s">
        <v>510</v>
      </c>
      <c r="O490" s="1">
        <v>46148</v>
      </c>
      <c r="P490" t="s">
        <v>389</v>
      </c>
      <c r="Q490" t="s">
        <v>277</v>
      </c>
      <c r="R490" t="s">
        <v>24</v>
      </c>
      <c r="S490">
        <v>111</v>
      </c>
      <c r="T490" t="s">
        <v>390</v>
      </c>
      <c r="U490">
        <v>280</v>
      </c>
      <c r="V490">
        <v>110</v>
      </c>
      <c r="W490">
        <v>2.2000000000000002</v>
      </c>
      <c r="X490" t="s">
        <v>278</v>
      </c>
      <c r="Y490">
        <v>8</v>
      </c>
      <c r="Z490">
        <v>0.12</v>
      </c>
      <c r="AA490">
        <v>0.02</v>
      </c>
      <c r="AB490">
        <v>31080</v>
      </c>
      <c r="AC490">
        <v>30458</v>
      </c>
      <c r="AD490">
        <v>244.20000000000002</v>
      </c>
      <c r="AE490">
        <v>3654.96</v>
      </c>
      <c r="AF490">
        <v>3655</v>
      </c>
      <c r="AG490">
        <v>12210</v>
      </c>
      <c r="AH490">
        <v>10938.04</v>
      </c>
      <c r="AI490" s="5">
        <v>0.359118786525708</v>
      </c>
    </row>
    <row r="491" spans="14:35" x14ac:dyDescent="0.25">
      <c r="N491" t="s">
        <v>511</v>
      </c>
      <c r="O491" s="1">
        <v>46148.125</v>
      </c>
      <c r="P491" t="s">
        <v>389</v>
      </c>
      <c r="Q491" t="s">
        <v>277</v>
      </c>
      <c r="R491" t="s">
        <v>32</v>
      </c>
      <c r="S491">
        <v>59</v>
      </c>
      <c r="T491" t="s">
        <v>390</v>
      </c>
      <c r="U491">
        <v>280</v>
      </c>
      <c r="V491">
        <v>110</v>
      </c>
      <c r="W491">
        <v>2.2000000000000002</v>
      </c>
      <c r="X491" t="s">
        <v>278</v>
      </c>
      <c r="Y491">
        <v>8</v>
      </c>
      <c r="Z491">
        <v>0.12</v>
      </c>
      <c r="AA491">
        <v>0.05</v>
      </c>
      <c r="AB491">
        <v>16520</v>
      </c>
      <c r="AC491">
        <v>15694</v>
      </c>
      <c r="AD491">
        <v>129.80000000000001</v>
      </c>
      <c r="AE491">
        <v>1883.28</v>
      </c>
      <c r="AF491">
        <v>1883</v>
      </c>
      <c r="AG491">
        <v>6490</v>
      </c>
      <c r="AH491">
        <v>5437.7199999999993</v>
      </c>
      <c r="AI491" s="5">
        <v>0.34648400662673601</v>
      </c>
    </row>
    <row r="492" spans="14:35" x14ac:dyDescent="0.25">
      <c r="N492" t="s">
        <v>512</v>
      </c>
      <c r="O492" s="1">
        <v>46148.458333333336</v>
      </c>
      <c r="P492" t="s">
        <v>389</v>
      </c>
      <c r="Q492" t="s">
        <v>277</v>
      </c>
      <c r="R492" t="s">
        <v>24</v>
      </c>
      <c r="S492">
        <v>156</v>
      </c>
      <c r="T492" t="s">
        <v>390</v>
      </c>
      <c r="U492">
        <v>280</v>
      </c>
      <c r="V492">
        <v>110</v>
      </c>
      <c r="W492">
        <v>2.2000000000000002</v>
      </c>
      <c r="X492" t="s">
        <v>278</v>
      </c>
      <c r="Y492">
        <v>8</v>
      </c>
      <c r="Z492">
        <v>0.12</v>
      </c>
      <c r="AA492">
        <v>0.02</v>
      </c>
      <c r="AB492">
        <v>43680</v>
      </c>
      <c r="AC492">
        <v>42806</v>
      </c>
      <c r="AD492">
        <v>343.20000000000005</v>
      </c>
      <c r="AE492">
        <v>5136.72</v>
      </c>
      <c r="AF492">
        <v>5137</v>
      </c>
      <c r="AG492">
        <v>17160</v>
      </c>
      <c r="AH492">
        <v>15372.279999999999</v>
      </c>
      <c r="AI492" s="5">
        <v>0.35911507732560899</v>
      </c>
    </row>
    <row r="493" spans="14:35" x14ac:dyDescent="0.25">
      <c r="N493" t="s">
        <v>513</v>
      </c>
      <c r="O493" s="1">
        <v>46148.833333333336</v>
      </c>
      <c r="P493" t="s">
        <v>389</v>
      </c>
      <c r="Q493" t="s">
        <v>277</v>
      </c>
      <c r="R493" t="s">
        <v>32</v>
      </c>
      <c r="S493">
        <v>195</v>
      </c>
      <c r="T493" t="s">
        <v>390</v>
      </c>
      <c r="U493">
        <v>280</v>
      </c>
      <c r="V493">
        <v>110</v>
      </c>
      <c r="W493">
        <v>2.2000000000000002</v>
      </c>
      <c r="X493" t="s">
        <v>278</v>
      </c>
      <c r="Y493">
        <v>8</v>
      </c>
      <c r="Z493">
        <v>0.12</v>
      </c>
      <c r="AA493">
        <v>0.05</v>
      </c>
      <c r="AB493">
        <v>54600</v>
      </c>
      <c r="AC493">
        <v>51870</v>
      </c>
      <c r="AD493">
        <v>429.00000000000006</v>
      </c>
      <c r="AE493">
        <v>6224.4</v>
      </c>
      <c r="AF493">
        <v>6224</v>
      </c>
      <c r="AG493">
        <v>21450</v>
      </c>
      <c r="AH493">
        <v>17971.599999999999</v>
      </c>
      <c r="AI493" s="5">
        <v>0.346473877000193</v>
      </c>
    </row>
    <row r="494" spans="14:35" x14ac:dyDescent="0.25">
      <c r="N494" t="s">
        <v>514</v>
      </c>
      <c r="O494" s="1">
        <v>46149.25</v>
      </c>
      <c r="P494" t="s">
        <v>389</v>
      </c>
      <c r="Q494" t="s">
        <v>277</v>
      </c>
      <c r="R494" t="s">
        <v>24</v>
      </c>
      <c r="S494">
        <v>70</v>
      </c>
      <c r="T494" t="s">
        <v>390</v>
      </c>
      <c r="U494">
        <v>280</v>
      </c>
      <c r="V494">
        <v>110</v>
      </c>
      <c r="W494">
        <v>2.2000000000000002</v>
      </c>
      <c r="X494" t="s">
        <v>278</v>
      </c>
      <c r="Y494">
        <v>8</v>
      </c>
      <c r="Z494">
        <v>0.12</v>
      </c>
      <c r="AA494">
        <v>0.02</v>
      </c>
      <c r="AB494">
        <v>19600</v>
      </c>
      <c r="AC494">
        <v>19208</v>
      </c>
      <c r="AD494">
        <v>154</v>
      </c>
      <c r="AE494">
        <v>2304.96</v>
      </c>
      <c r="AF494">
        <v>2305</v>
      </c>
      <c r="AG494">
        <v>7700</v>
      </c>
      <c r="AH494">
        <v>6898.0400000000009</v>
      </c>
      <c r="AI494" s="5">
        <v>0.35912328196584797</v>
      </c>
    </row>
    <row r="495" spans="14:35" x14ac:dyDescent="0.25">
      <c r="N495" t="s">
        <v>515</v>
      </c>
      <c r="O495" s="1">
        <v>46149.791666666664</v>
      </c>
      <c r="P495" t="s">
        <v>389</v>
      </c>
      <c r="Q495" t="s">
        <v>277</v>
      </c>
      <c r="R495" t="s">
        <v>24</v>
      </c>
      <c r="S495">
        <v>10</v>
      </c>
      <c r="T495" t="s">
        <v>390</v>
      </c>
      <c r="U495">
        <v>280</v>
      </c>
      <c r="V495">
        <v>110</v>
      </c>
      <c r="W495">
        <v>2.2000000000000002</v>
      </c>
      <c r="X495" t="s">
        <v>278</v>
      </c>
      <c r="Y495">
        <v>8</v>
      </c>
      <c r="Z495">
        <v>0.12</v>
      </c>
      <c r="AA495">
        <v>0.02</v>
      </c>
      <c r="AB495">
        <v>2800</v>
      </c>
      <c r="AC495">
        <v>2744</v>
      </c>
      <c r="AD495">
        <v>22</v>
      </c>
      <c r="AE495">
        <v>329.28</v>
      </c>
      <c r="AF495">
        <v>329</v>
      </c>
      <c r="AG495">
        <v>1100</v>
      </c>
      <c r="AH495">
        <v>985.72</v>
      </c>
      <c r="AI495" s="5">
        <v>0.35922740524781299</v>
      </c>
    </row>
    <row r="496" spans="14:35" x14ac:dyDescent="0.25">
      <c r="N496" t="s">
        <v>516</v>
      </c>
      <c r="O496" s="1">
        <v>46150</v>
      </c>
      <c r="P496" t="s">
        <v>389</v>
      </c>
      <c r="Q496" t="s">
        <v>277</v>
      </c>
      <c r="R496" t="s">
        <v>24</v>
      </c>
      <c r="S496">
        <v>148</v>
      </c>
      <c r="T496" t="s">
        <v>390</v>
      </c>
      <c r="U496">
        <v>280</v>
      </c>
      <c r="V496">
        <v>110</v>
      </c>
      <c r="W496">
        <v>2.2000000000000002</v>
      </c>
      <c r="X496" t="s">
        <v>278</v>
      </c>
      <c r="Y496">
        <v>8</v>
      </c>
      <c r="Z496">
        <v>0.12</v>
      </c>
      <c r="AA496">
        <v>0.02</v>
      </c>
      <c r="AB496">
        <v>41440</v>
      </c>
      <c r="AC496">
        <v>40611</v>
      </c>
      <c r="AD496">
        <v>325.60000000000002</v>
      </c>
      <c r="AE496">
        <v>4873.32</v>
      </c>
      <c r="AF496">
        <v>4873</v>
      </c>
      <c r="AG496">
        <v>16280</v>
      </c>
      <c r="AH496">
        <v>14584.68</v>
      </c>
      <c r="AI496" s="5">
        <v>0.35913126985299598</v>
      </c>
    </row>
    <row r="497" spans="14:35" x14ac:dyDescent="0.25">
      <c r="N497" t="s">
        <v>517</v>
      </c>
      <c r="O497" s="1">
        <v>46150.041666666664</v>
      </c>
      <c r="P497" t="s">
        <v>389</v>
      </c>
      <c r="Q497" t="s">
        <v>277</v>
      </c>
      <c r="R497" t="s">
        <v>24</v>
      </c>
      <c r="S497">
        <v>42</v>
      </c>
      <c r="T497" t="s">
        <v>390</v>
      </c>
      <c r="U497">
        <v>280</v>
      </c>
      <c r="V497">
        <v>110</v>
      </c>
      <c r="W497">
        <v>2.2000000000000002</v>
      </c>
      <c r="X497" t="s">
        <v>278</v>
      </c>
      <c r="Y497">
        <v>8</v>
      </c>
      <c r="Z497">
        <v>0.12</v>
      </c>
      <c r="AA497">
        <v>0.02</v>
      </c>
      <c r="AB497">
        <v>11760</v>
      </c>
      <c r="AC497">
        <v>11525</v>
      </c>
      <c r="AD497">
        <v>92.4</v>
      </c>
      <c r="AE497">
        <v>1383</v>
      </c>
      <c r="AF497">
        <v>1383</v>
      </c>
      <c r="AG497">
        <v>4620</v>
      </c>
      <c r="AH497">
        <v>4139</v>
      </c>
      <c r="AI497" s="5">
        <v>0.35913232104121501</v>
      </c>
    </row>
    <row r="498" spans="14:35" x14ac:dyDescent="0.25">
      <c r="N498" t="s">
        <v>518</v>
      </c>
      <c r="O498" s="1">
        <v>46150.083333333336</v>
      </c>
      <c r="P498" t="s">
        <v>389</v>
      </c>
      <c r="Q498" t="s">
        <v>277</v>
      </c>
      <c r="R498" t="s">
        <v>24</v>
      </c>
      <c r="S498">
        <v>195</v>
      </c>
      <c r="T498" t="s">
        <v>390</v>
      </c>
      <c r="U498">
        <v>280</v>
      </c>
      <c r="V498">
        <v>110</v>
      </c>
      <c r="W498">
        <v>2.2000000000000002</v>
      </c>
      <c r="X498" t="s">
        <v>278</v>
      </c>
      <c r="Y498">
        <v>8</v>
      </c>
      <c r="Z498">
        <v>0.12</v>
      </c>
      <c r="AA498">
        <v>0.02</v>
      </c>
      <c r="AB498">
        <v>54600</v>
      </c>
      <c r="AC498">
        <v>53508</v>
      </c>
      <c r="AD498">
        <v>429.00000000000006</v>
      </c>
      <c r="AE498">
        <v>6420.96</v>
      </c>
      <c r="AF498">
        <v>6421</v>
      </c>
      <c r="AG498">
        <v>21450</v>
      </c>
      <c r="AH498">
        <v>19216.04</v>
      </c>
      <c r="AI498" s="5">
        <v>0.35912461687971903</v>
      </c>
    </row>
    <row r="499" spans="14:35" x14ac:dyDescent="0.25">
      <c r="N499" t="s">
        <v>519</v>
      </c>
      <c r="O499" s="1">
        <v>46150.75</v>
      </c>
      <c r="P499" t="s">
        <v>389</v>
      </c>
      <c r="Q499" t="s">
        <v>277</v>
      </c>
      <c r="R499" t="s">
        <v>24</v>
      </c>
      <c r="S499">
        <v>58</v>
      </c>
      <c r="T499" t="s">
        <v>390</v>
      </c>
      <c r="U499">
        <v>280</v>
      </c>
      <c r="V499">
        <v>110</v>
      </c>
      <c r="W499">
        <v>2.2000000000000002</v>
      </c>
      <c r="X499" t="s">
        <v>278</v>
      </c>
      <c r="Y499">
        <v>8</v>
      </c>
      <c r="Z499">
        <v>0.12</v>
      </c>
      <c r="AA499">
        <v>0.02</v>
      </c>
      <c r="AB499">
        <v>16240</v>
      </c>
      <c r="AC499">
        <v>15915</v>
      </c>
      <c r="AD499">
        <v>127.60000000000001</v>
      </c>
      <c r="AE499">
        <v>1909.8</v>
      </c>
      <c r="AF499">
        <v>1910</v>
      </c>
      <c r="AG499">
        <v>6380</v>
      </c>
      <c r="AH499">
        <v>5715.2000000000007</v>
      </c>
      <c r="AI499" s="5">
        <v>0.35910775997486699</v>
      </c>
    </row>
    <row r="500" spans="14:35" x14ac:dyDescent="0.25">
      <c r="N500" t="s">
        <v>520</v>
      </c>
      <c r="O500" s="1">
        <v>46151.666666666664</v>
      </c>
      <c r="P500" t="s">
        <v>389</v>
      </c>
      <c r="Q500" t="s">
        <v>277</v>
      </c>
      <c r="R500" t="s">
        <v>24</v>
      </c>
      <c r="S500">
        <v>122</v>
      </c>
      <c r="T500" t="s">
        <v>390</v>
      </c>
      <c r="U500">
        <v>280</v>
      </c>
      <c r="V500">
        <v>110</v>
      </c>
      <c r="W500">
        <v>2.2000000000000002</v>
      </c>
      <c r="X500" t="s">
        <v>278</v>
      </c>
      <c r="Y500">
        <v>8</v>
      </c>
      <c r="Z500">
        <v>0.12</v>
      </c>
      <c r="AA500">
        <v>0.02</v>
      </c>
      <c r="AB500">
        <v>34160</v>
      </c>
      <c r="AC500">
        <v>33477</v>
      </c>
      <c r="AD500">
        <v>268.40000000000003</v>
      </c>
      <c r="AE500">
        <v>4017.24</v>
      </c>
      <c r="AF500">
        <v>4017</v>
      </c>
      <c r="AG500">
        <v>13420</v>
      </c>
      <c r="AH500">
        <v>12022.760000000002</v>
      </c>
      <c r="AI500" s="5">
        <v>0.35913492845834499</v>
      </c>
    </row>
    <row r="501" spans="14:35" x14ac:dyDescent="0.25">
      <c r="N501" t="s">
        <v>521</v>
      </c>
      <c r="O501" s="1">
        <v>46151.958333333336</v>
      </c>
      <c r="P501" t="s">
        <v>389</v>
      </c>
      <c r="Q501" t="s">
        <v>277</v>
      </c>
      <c r="R501" t="s">
        <v>32</v>
      </c>
      <c r="S501">
        <v>96</v>
      </c>
      <c r="T501" t="s">
        <v>390</v>
      </c>
      <c r="U501">
        <v>280</v>
      </c>
      <c r="V501">
        <v>110</v>
      </c>
      <c r="W501">
        <v>2.2000000000000002</v>
      </c>
      <c r="X501" t="s">
        <v>278</v>
      </c>
      <c r="Y501">
        <v>8</v>
      </c>
      <c r="Z501">
        <v>0.12</v>
      </c>
      <c r="AA501">
        <v>0.05</v>
      </c>
      <c r="AB501">
        <v>26880</v>
      </c>
      <c r="AC501">
        <v>25536</v>
      </c>
      <c r="AD501">
        <v>211.20000000000002</v>
      </c>
      <c r="AE501">
        <v>3064.3199999999997</v>
      </c>
      <c r="AF501">
        <v>3064</v>
      </c>
      <c r="AG501">
        <v>10560</v>
      </c>
      <c r="AH501">
        <v>8847.68</v>
      </c>
      <c r="AI501" s="5">
        <v>0.346478696741855</v>
      </c>
    </row>
    <row r="502" spans="14:35" x14ac:dyDescent="0.25">
      <c r="N502" t="s">
        <v>522</v>
      </c>
      <c r="O502" s="1">
        <v>46152.041666666664</v>
      </c>
      <c r="P502" t="s">
        <v>389</v>
      </c>
      <c r="Q502" t="s">
        <v>277</v>
      </c>
      <c r="R502" t="s">
        <v>32</v>
      </c>
      <c r="S502">
        <v>85</v>
      </c>
      <c r="T502" t="s">
        <v>390</v>
      </c>
      <c r="U502">
        <v>280</v>
      </c>
      <c r="V502">
        <v>110</v>
      </c>
      <c r="W502">
        <v>2.2000000000000002</v>
      </c>
      <c r="X502" t="s">
        <v>278</v>
      </c>
      <c r="Y502">
        <v>8</v>
      </c>
      <c r="Z502">
        <v>0.12</v>
      </c>
      <c r="AA502">
        <v>0.05</v>
      </c>
      <c r="AB502">
        <v>23800</v>
      </c>
      <c r="AC502">
        <v>22610</v>
      </c>
      <c r="AD502">
        <v>187.00000000000003</v>
      </c>
      <c r="AE502">
        <v>2713.2</v>
      </c>
      <c r="AF502">
        <v>2713</v>
      </c>
      <c r="AG502">
        <v>9350</v>
      </c>
      <c r="AH502">
        <v>7833.7999999999993</v>
      </c>
      <c r="AI502" s="5">
        <v>0.34647501105705403</v>
      </c>
    </row>
    <row r="503" spans="14:35" x14ac:dyDescent="0.25">
      <c r="N503" t="s">
        <v>523</v>
      </c>
      <c r="O503" s="1">
        <v>46152.583333333336</v>
      </c>
      <c r="P503" t="s">
        <v>389</v>
      </c>
      <c r="Q503" t="s">
        <v>277</v>
      </c>
      <c r="R503" t="s">
        <v>29</v>
      </c>
      <c r="S503">
        <v>184</v>
      </c>
      <c r="T503" t="s">
        <v>390</v>
      </c>
      <c r="U503">
        <v>280</v>
      </c>
      <c r="V503">
        <v>110</v>
      </c>
      <c r="W503">
        <v>2.2000000000000002</v>
      </c>
      <c r="X503" t="s">
        <v>278</v>
      </c>
      <c r="Y503">
        <v>8</v>
      </c>
      <c r="Z503">
        <v>0.12</v>
      </c>
      <c r="AA503">
        <v>0.1</v>
      </c>
      <c r="AB503">
        <v>51520</v>
      </c>
      <c r="AC503">
        <v>46368</v>
      </c>
      <c r="AD503">
        <v>404.8</v>
      </c>
      <c r="AE503">
        <v>5564.16</v>
      </c>
      <c r="AF503">
        <v>5564</v>
      </c>
      <c r="AG503">
        <v>20240</v>
      </c>
      <c r="AH503">
        <v>14999.84</v>
      </c>
      <c r="AI503" s="5">
        <v>0.32349551414768801</v>
      </c>
    </row>
    <row r="504" spans="14:35" x14ac:dyDescent="0.25">
      <c r="N504" t="s">
        <v>524</v>
      </c>
      <c r="O504" s="1">
        <v>46152.708333333336</v>
      </c>
      <c r="P504" t="s">
        <v>389</v>
      </c>
      <c r="Q504" t="s">
        <v>277</v>
      </c>
      <c r="R504" t="s">
        <v>29</v>
      </c>
      <c r="S504">
        <v>13</v>
      </c>
      <c r="T504" t="s">
        <v>390</v>
      </c>
      <c r="U504">
        <v>280</v>
      </c>
      <c r="V504">
        <v>110</v>
      </c>
      <c r="W504">
        <v>2.2000000000000002</v>
      </c>
      <c r="X504" t="s">
        <v>278</v>
      </c>
      <c r="Y504">
        <v>8</v>
      </c>
      <c r="Z504">
        <v>0.12</v>
      </c>
      <c r="AA504">
        <v>0.1</v>
      </c>
      <c r="AB504">
        <v>3640</v>
      </c>
      <c r="AC504">
        <v>3276</v>
      </c>
      <c r="AD504">
        <v>28.6</v>
      </c>
      <c r="AE504">
        <v>393.12</v>
      </c>
      <c r="AF504">
        <v>393</v>
      </c>
      <c r="AG504">
        <v>1430</v>
      </c>
      <c r="AH504">
        <v>1059.8800000000001</v>
      </c>
      <c r="AI504" s="5">
        <v>0.32352869352869401</v>
      </c>
    </row>
    <row r="505" spans="14:35" x14ac:dyDescent="0.25">
      <c r="N505" t="s">
        <v>525</v>
      </c>
      <c r="O505" s="1">
        <v>46153</v>
      </c>
      <c r="P505" t="s">
        <v>389</v>
      </c>
      <c r="Q505" t="s">
        <v>277</v>
      </c>
      <c r="R505" t="s">
        <v>24</v>
      </c>
      <c r="S505">
        <v>75</v>
      </c>
      <c r="T505" t="s">
        <v>390</v>
      </c>
      <c r="U505">
        <v>280</v>
      </c>
      <c r="V505">
        <v>110</v>
      </c>
      <c r="W505">
        <v>2.2000000000000002</v>
      </c>
      <c r="X505" t="s">
        <v>278</v>
      </c>
      <c r="Y505">
        <v>8</v>
      </c>
      <c r="Z505">
        <v>0.12</v>
      </c>
      <c r="AA505">
        <v>0.02</v>
      </c>
      <c r="AB505">
        <v>21000</v>
      </c>
      <c r="AC505">
        <v>20580</v>
      </c>
      <c r="AD505">
        <v>165</v>
      </c>
      <c r="AE505">
        <v>2469.6</v>
      </c>
      <c r="AF505">
        <v>2470</v>
      </c>
      <c r="AG505">
        <v>8250</v>
      </c>
      <c r="AH505">
        <v>7390.4</v>
      </c>
      <c r="AI505" s="5">
        <v>0.35910592808552</v>
      </c>
    </row>
    <row r="506" spans="14:35" x14ac:dyDescent="0.25">
      <c r="N506" t="s">
        <v>526</v>
      </c>
      <c r="O506" s="1">
        <v>46153.041666666664</v>
      </c>
      <c r="P506" t="s">
        <v>389</v>
      </c>
      <c r="Q506" t="s">
        <v>277</v>
      </c>
      <c r="R506" t="s">
        <v>24</v>
      </c>
      <c r="S506">
        <v>96</v>
      </c>
      <c r="T506" t="s">
        <v>390</v>
      </c>
      <c r="U506">
        <v>280</v>
      </c>
      <c r="V506">
        <v>110</v>
      </c>
      <c r="W506">
        <v>2.2000000000000002</v>
      </c>
      <c r="X506" t="s">
        <v>278</v>
      </c>
      <c r="Y506">
        <v>8</v>
      </c>
      <c r="Z506">
        <v>0.12</v>
      </c>
      <c r="AA506">
        <v>0.02</v>
      </c>
      <c r="AB506">
        <v>26880</v>
      </c>
      <c r="AC506">
        <v>26342</v>
      </c>
      <c r="AD506">
        <v>211.20000000000002</v>
      </c>
      <c r="AE506">
        <v>3161.04</v>
      </c>
      <c r="AF506">
        <v>3161</v>
      </c>
      <c r="AG506">
        <v>10560</v>
      </c>
      <c r="AH506">
        <v>9459.9599999999991</v>
      </c>
      <c r="AI506" s="5">
        <v>0.359120795687495</v>
      </c>
    </row>
    <row r="507" spans="14:35" x14ac:dyDescent="0.25">
      <c r="N507" t="s">
        <v>527</v>
      </c>
      <c r="O507" s="1">
        <v>46153.75</v>
      </c>
      <c r="P507" t="s">
        <v>389</v>
      </c>
      <c r="Q507" t="s">
        <v>277</v>
      </c>
      <c r="R507" t="s">
        <v>24</v>
      </c>
      <c r="S507">
        <v>157</v>
      </c>
      <c r="T507" t="s">
        <v>390</v>
      </c>
      <c r="U507">
        <v>280</v>
      </c>
      <c r="V507">
        <v>110</v>
      </c>
      <c r="W507">
        <v>2.2000000000000002</v>
      </c>
      <c r="X507" t="s">
        <v>278</v>
      </c>
      <c r="Y507">
        <v>8</v>
      </c>
      <c r="Z507">
        <v>0.12</v>
      </c>
      <c r="AA507">
        <v>0.02</v>
      </c>
      <c r="AB507">
        <v>43960</v>
      </c>
      <c r="AC507">
        <v>43081</v>
      </c>
      <c r="AD507">
        <v>345.40000000000003</v>
      </c>
      <c r="AE507">
        <v>5169.72</v>
      </c>
      <c r="AF507">
        <v>5170</v>
      </c>
      <c r="AG507">
        <v>17270</v>
      </c>
      <c r="AH507">
        <v>15471.279999999999</v>
      </c>
      <c r="AI507" s="5">
        <v>0.35912072607413897</v>
      </c>
    </row>
    <row r="508" spans="14:35" x14ac:dyDescent="0.25">
      <c r="N508" t="s">
        <v>528</v>
      </c>
      <c r="O508" s="1">
        <v>46154.333333333336</v>
      </c>
      <c r="P508" t="s">
        <v>389</v>
      </c>
      <c r="Q508" t="s">
        <v>277</v>
      </c>
      <c r="R508" t="s">
        <v>24</v>
      </c>
      <c r="S508">
        <v>41</v>
      </c>
      <c r="T508" t="s">
        <v>390</v>
      </c>
      <c r="U508">
        <v>280</v>
      </c>
      <c r="V508">
        <v>110</v>
      </c>
      <c r="W508">
        <v>2.2000000000000002</v>
      </c>
      <c r="X508" t="s">
        <v>278</v>
      </c>
      <c r="Y508">
        <v>8</v>
      </c>
      <c r="Z508">
        <v>0.12</v>
      </c>
      <c r="AA508">
        <v>0.02</v>
      </c>
      <c r="AB508">
        <v>11480</v>
      </c>
      <c r="AC508">
        <v>11250</v>
      </c>
      <c r="AD508">
        <v>90.2</v>
      </c>
      <c r="AE508">
        <v>1350</v>
      </c>
      <c r="AF508">
        <v>1350</v>
      </c>
      <c r="AG508">
        <v>4510</v>
      </c>
      <c r="AH508">
        <v>4040</v>
      </c>
      <c r="AI508" s="5">
        <v>0.35911111111111099</v>
      </c>
    </row>
    <row r="509" spans="14:35" x14ac:dyDescent="0.25">
      <c r="N509" t="s">
        <v>529</v>
      </c>
      <c r="O509" s="1">
        <v>46154.5</v>
      </c>
      <c r="P509" t="s">
        <v>389</v>
      </c>
      <c r="Q509" t="s">
        <v>277</v>
      </c>
      <c r="R509" t="s">
        <v>24</v>
      </c>
      <c r="S509">
        <v>100</v>
      </c>
      <c r="T509" t="s">
        <v>390</v>
      </c>
      <c r="U509">
        <v>280</v>
      </c>
      <c r="V509">
        <v>110</v>
      </c>
      <c r="W509">
        <v>2.2000000000000002</v>
      </c>
      <c r="X509" t="s">
        <v>278</v>
      </c>
      <c r="Y509">
        <v>8</v>
      </c>
      <c r="Z509">
        <v>0.12</v>
      </c>
      <c r="AA509">
        <v>0.02</v>
      </c>
      <c r="AB509">
        <v>28000</v>
      </c>
      <c r="AC509">
        <v>27440</v>
      </c>
      <c r="AD509">
        <v>220.00000000000003</v>
      </c>
      <c r="AE509">
        <v>3292.7999999999997</v>
      </c>
      <c r="AF509">
        <v>3293</v>
      </c>
      <c r="AG509">
        <v>11000</v>
      </c>
      <c r="AH509">
        <v>9854.2000000000007</v>
      </c>
      <c r="AI509" s="5">
        <v>0.35911807580174898</v>
      </c>
    </row>
    <row r="510" spans="14:35" x14ac:dyDescent="0.25">
      <c r="N510" t="s">
        <v>530</v>
      </c>
      <c r="O510" s="1">
        <v>46154.75</v>
      </c>
      <c r="P510" t="s">
        <v>389</v>
      </c>
      <c r="Q510" t="s">
        <v>277</v>
      </c>
      <c r="R510" t="s">
        <v>29</v>
      </c>
      <c r="S510">
        <v>187</v>
      </c>
      <c r="T510" t="s">
        <v>390</v>
      </c>
      <c r="U510">
        <v>280</v>
      </c>
      <c r="V510">
        <v>110</v>
      </c>
      <c r="W510">
        <v>2.2000000000000002</v>
      </c>
      <c r="X510" t="s">
        <v>278</v>
      </c>
      <c r="Y510">
        <v>8</v>
      </c>
      <c r="Z510">
        <v>0.12</v>
      </c>
      <c r="AA510">
        <v>0.1</v>
      </c>
      <c r="AB510">
        <v>52360</v>
      </c>
      <c r="AC510">
        <v>47124</v>
      </c>
      <c r="AD510">
        <v>411.40000000000003</v>
      </c>
      <c r="AE510">
        <v>5654.88</v>
      </c>
      <c r="AF510">
        <v>5655</v>
      </c>
      <c r="AG510">
        <v>20570</v>
      </c>
      <c r="AH510">
        <v>15244.119999999999</v>
      </c>
      <c r="AI510" s="5">
        <v>0.32348951701892897</v>
      </c>
    </row>
    <row r="511" spans="14:35" x14ac:dyDescent="0.25">
      <c r="N511" t="s">
        <v>531</v>
      </c>
      <c r="O511" s="1">
        <v>46157.5</v>
      </c>
      <c r="P511" t="s">
        <v>389</v>
      </c>
      <c r="Q511" t="s">
        <v>277</v>
      </c>
      <c r="R511" t="s">
        <v>29</v>
      </c>
      <c r="S511">
        <v>58</v>
      </c>
      <c r="T511" t="s">
        <v>390</v>
      </c>
      <c r="U511">
        <v>280</v>
      </c>
      <c r="V511">
        <v>110</v>
      </c>
      <c r="W511">
        <v>2.2000000000000002</v>
      </c>
      <c r="X511" t="s">
        <v>278</v>
      </c>
      <c r="Y511">
        <v>8</v>
      </c>
      <c r="Z511">
        <v>0.12</v>
      </c>
      <c r="AA511">
        <v>0.1</v>
      </c>
      <c r="AB511">
        <v>16240</v>
      </c>
      <c r="AC511">
        <v>14616</v>
      </c>
      <c r="AD511">
        <v>127.60000000000001</v>
      </c>
      <c r="AE511">
        <v>1753.9199999999998</v>
      </c>
      <c r="AF511">
        <v>1754</v>
      </c>
      <c r="AG511">
        <v>6380</v>
      </c>
      <c r="AH511">
        <v>4728.08</v>
      </c>
      <c r="AI511" s="5">
        <v>0.32348659003831398</v>
      </c>
    </row>
    <row r="512" spans="14:35" x14ac:dyDescent="0.25">
      <c r="N512" t="s">
        <v>532</v>
      </c>
      <c r="O512" s="1">
        <v>46157.666666666664</v>
      </c>
      <c r="P512" t="s">
        <v>389</v>
      </c>
      <c r="Q512" t="s">
        <v>277</v>
      </c>
      <c r="R512" t="s">
        <v>29</v>
      </c>
      <c r="S512">
        <v>44</v>
      </c>
      <c r="T512" t="s">
        <v>390</v>
      </c>
      <c r="U512">
        <v>280</v>
      </c>
      <c r="V512">
        <v>110</v>
      </c>
      <c r="W512">
        <v>2.2000000000000002</v>
      </c>
      <c r="X512" t="s">
        <v>278</v>
      </c>
      <c r="Y512">
        <v>8</v>
      </c>
      <c r="Z512">
        <v>0.12</v>
      </c>
      <c r="AA512">
        <v>0.1</v>
      </c>
      <c r="AB512">
        <v>12320</v>
      </c>
      <c r="AC512">
        <v>11088</v>
      </c>
      <c r="AD512">
        <v>96.800000000000011</v>
      </c>
      <c r="AE512">
        <v>1330.56</v>
      </c>
      <c r="AF512">
        <v>1331</v>
      </c>
      <c r="AG512">
        <v>4840</v>
      </c>
      <c r="AH512">
        <v>3586.4400000000005</v>
      </c>
      <c r="AI512" s="5">
        <v>0.32345238095238099</v>
      </c>
    </row>
    <row r="513" spans="14:35" x14ac:dyDescent="0.25">
      <c r="N513" t="s">
        <v>533</v>
      </c>
      <c r="O513" s="1">
        <v>46158.291666666664</v>
      </c>
      <c r="P513" t="s">
        <v>389</v>
      </c>
      <c r="Q513" t="s">
        <v>277</v>
      </c>
      <c r="R513" t="s">
        <v>29</v>
      </c>
      <c r="S513">
        <v>44</v>
      </c>
      <c r="T513" t="s">
        <v>390</v>
      </c>
      <c r="U513">
        <v>280</v>
      </c>
      <c r="V513">
        <v>110</v>
      </c>
      <c r="W513">
        <v>2.2000000000000002</v>
      </c>
      <c r="X513" t="s">
        <v>278</v>
      </c>
      <c r="Y513">
        <v>8</v>
      </c>
      <c r="Z513">
        <v>0.12</v>
      </c>
      <c r="AA513">
        <v>0.1</v>
      </c>
      <c r="AB513">
        <v>12320</v>
      </c>
      <c r="AC513">
        <v>11088</v>
      </c>
      <c r="AD513">
        <v>96.800000000000011</v>
      </c>
      <c r="AE513">
        <v>1330.56</v>
      </c>
      <c r="AF513">
        <v>1331</v>
      </c>
      <c r="AG513">
        <v>4840</v>
      </c>
      <c r="AH513">
        <v>3586.4400000000005</v>
      </c>
      <c r="AI513" s="5">
        <v>0.32345238095238099</v>
      </c>
    </row>
    <row r="514" spans="14:35" x14ac:dyDescent="0.25">
      <c r="N514" t="s">
        <v>534</v>
      </c>
      <c r="O514" s="1">
        <v>46158.583333333336</v>
      </c>
      <c r="P514" t="s">
        <v>389</v>
      </c>
      <c r="Q514" t="s">
        <v>277</v>
      </c>
      <c r="R514" t="s">
        <v>24</v>
      </c>
      <c r="S514">
        <v>113</v>
      </c>
      <c r="T514" t="s">
        <v>390</v>
      </c>
      <c r="U514">
        <v>280</v>
      </c>
      <c r="V514">
        <v>110</v>
      </c>
      <c r="W514">
        <v>2.2000000000000002</v>
      </c>
      <c r="X514" t="s">
        <v>278</v>
      </c>
      <c r="Y514">
        <v>8</v>
      </c>
      <c r="Z514">
        <v>0.12</v>
      </c>
      <c r="AA514">
        <v>0.02</v>
      </c>
      <c r="AB514">
        <v>31640</v>
      </c>
      <c r="AC514">
        <v>31007</v>
      </c>
      <c r="AD514">
        <v>248.60000000000002</v>
      </c>
      <c r="AE514">
        <v>3720.8399999999997</v>
      </c>
      <c r="AF514">
        <v>3721</v>
      </c>
      <c r="AG514">
        <v>12430</v>
      </c>
      <c r="AH514">
        <v>11135.16</v>
      </c>
      <c r="AI514" s="5">
        <v>0.359117618602251</v>
      </c>
    </row>
    <row r="515" spans="14:35" x14ac:dyDescent="0.25">
      <c r="N515" t="s">
        <v>535</v>
      </c>
      <c r="O515" s="1">
        <v>46158.708333333336</v>
      </c>
      <c r="P515" t="s">
        <v>389</v>
      </c>
      <c r="Q515" t="s">
        <v>277</v>
      </c>
      <c r="R515" t="s">
        <v>29</v>
      </c>
      <c r="S515">
        <v>140</v>
      </c>
      <c r="T515" t="s">
        <v>390</v>
      </c>
      <c r="U515">
        <v>280</v>
      </c>
      <c r="V515">
        <v>110</v>
      </c>
      <c r="W515">
        <v>2.2000000000000002</v>
      </c>
      <c r="X515" t="s">
        <v>278</v>
      </c>
      <c r="Y515">
        <v>8</v>
      </c>
      <c r="Z515">
        <v>0.12</v>
      </c>
      <c r="AA515">
        <v>0.1</v>
      </c>
      <c r="AB515">
        <v>39200</v>
      </c>
      <c r="AC515">
        <v>35280</v>
      </c>
      <c r="AD515">
        <v>308</v>
      </c>
      <c r="AE515">
        <v>4233.5999999999995</v>
      </c>
      <c r="AF515">
        <v>4234</v>
      </c>
      <c r="AG515">
        <v>15400</v>
      </c>
      <c r="AH515">
        <v>11412.400000000001</v>
      </c>
      <c r="AI515" s="5">
        <v>0.32348072562358299</v>
      </c>
    </row>
    <row r="516" spans="14:35" x14ac:dyDescent="0.25">
      <c r="N516" t="s">
        <v>536</v>
      </c>
      <c r="O516" s="1">
        <v>46158.791666666664</v>
      </c>
      <c r="P516" t="s">
        <v>389</v>
      </c>
      <c r="Q516" t="s">
        <v>277</v>
      </c>
      <c r="R516" t="s">
        <v>24</v>
      </c>
      <c r="S516">
        <v>78</v>
      </c>
      <c r="T516" t="s">
        <v>390</v>
      </c>
      <c r="U516">
        <v>280</v>
      </c>
      <c r="V516">
        <v>110</v>
      </c>
      <c r="W516">
        <v>2.2000000000000002</v>
      </c>
      <c r="X516" t="s">
        <v>278</v>
      </c>
      <c r="Y516">
        <v>8</v>
      </c>
      <c r="Z516">
        <v>0.12</v>
      </c>
      <c r="AA516">
        <v>0.02</v>
      </c>
      <c r="AB516">
        <v>21840</v>
      </c>
      <c r="AC516">
        <v>21403</v>
      </c>
      <c r="AD516">
        <v>171.60000000000002</v>
      </c>
      <c r="AE516">
        <v>2568.36</v>
      </c>
      <c r="AF516">
        <v>2568</v>
      </c>
      <c r="AG516">
        <v>8580</v>
      </c>
      <c r="AH516">
        <v>7686.6399999999994</v>
      </c>
      <c r="AI516" s="5">
        <v>0.359138438536654</v>
      </c>
    </row>
    <row r="517" spans="14:35" x14ac:dyDescent="0.25">
      <c r="N517" t="s">
        <v>537</v>
      </c>
      <c r="O517" s="1">
        <v>46159.083333333336</v>
      </c>
      <c r="P517" t="s">
        <v>389</v>
      </c>
      <c r="Q517" t="s">
        <v>277</v>
      </c>
      <c r="R517" t="s">
        <v>24</v>
      </c>
      <c r="S517">
        <v>153</v>
      </c>
      <c r="T517" t="s">
        <v>390</v>
      </c>
      <c r="U517">
        <v>280</v>
      </c>
      <c r="V517">
        <v>110</v>
      </c>
      <c r="W517">
        <v>2.2000000000000002</v>
      </c>
      <c r="X517" t="s">
        <v>278</v>
      </c>
      <c r="Y517">
        <v>8</v>
      </c>
      <c r="Z517">
        <v>0.12</v>
      </c>
      <c r="AA517">
        <v>0.02</v>
      </c>
      <c r="AB517">
        <v>42840</v>
      </c>
      <c r="AC517">
        <v>41983</v>
      </c>
      <c r="AD517">
        <v>336.6</v>
      </c>
      <c r="AE517">
        <v>5037.96</v>
      </c>
      <c r="AF517">
        <v>5038</v>
      </c>
      <c r="AG517">
        <v>16830</v>
      </c>
      <c r="AH517">
        <v>15077.04</v>
      </c>
      <c r="AI517" s="5">
        <v>0.359122501965081</v>
      </c>
    </row>
    <row r="518" spans="14:35" x14ac:dyDescent="0.25">
      <c r="N518" t="s">
        <v>538</v>
      </c>
      <c r="O518" s="1">
        <v>46159.166666666664</v>
      </c>
      <c r="P518" t="s">
        <v>389</v>
      </c>
      <c r="Q518" t="s">
        <v>277</v>
      </c>
      <c r="R518" t="s">
        <v>32</v>
      </c>
      <c r="S518">
        <v>169</v>
      </c>
      <c r="T518" t="s">
        <v>390</v>
      </c>
      <c r="U518">
        <v>280</v>
      </c>
      <c r="V518">
        <v>110</v>
      </c>
      <c r="W518">
        <v>2.2000000000000002</v>
      </c>
      <c r="X518" t="s">
        <v>278</v>
      </c>
      <c r="Y518">
        <v>8</v>
      </c>
      <c r="Z518">
        <v>0.12</v>
      </c>
      <c r="AA518">
        <v>0.05</v>
      </c>
      <c r="AB518">
        <v>47320</v>
      </c>
      <c r="AC518">
        <v>44954</v>
      </c>
      <c r="AD518">
        <v>371.8</v>
      </c>
      <c r="AE518">
        <v>5394.48</v>
      </c>
      <c r="AF518">
        <v>5394</v>
      </c>
      <c r="AG518">
        <v>18590</v>
      </c>
      <c r="AH518">
        <v>15575.52</v>
      </c>
      <c r="AI518" s="5">
        <v>0.34647684299506198</v>
      </c>
    </row>
    <row r="519" spans="14:35" x14ac:dyDescent="0.25">
      <c r="N519" t="s">
        <v>539</v>
      </c>
      <c r="O519" s="1">
        <v>46159.25</v>
      </c>
      <c r="P519" t="s">
        <v>389</v>
      </c>
      <c r="Q519" t="s">
        <v>277</v>
      </c>
      <c r="R519" t="s">
        <v>29</v>
      </c>
      <c r="S519">
        <v>182</v>
      </c>
      <c r="T519" t="s">
        <v>390</v>
      </c>
      <c r="U519">
        <v>280</v>
      </c>
      <c r="V519">
        <v>110</v>
      </c>
      <c r="W519">
        <v>2.2000000000000002</v>
      </c>
      <c r="X519" t="s">
        <v>278</v>
      </c>
      <c r="Y519">
        <v>8</v>
      </c>
      <c r="Z519">
        <v>0.12</v>
      </c>
      <c r="AA519">
        <v>0.1</v>
      </c>
      <c r="AB519">
        <v>50960</v>
      </c>
      <c r="AC519">
        <v>45864</v>
      </c>
      <c r="AD519">
        <v>400.40000000000003</v>
      </c>
      <c r="AE519">
        <v>5503.6799999999994</v>
      </c>
      <c r="AF519">
        <v>5504</v>
      </c>
      <c r="AG519">
        <v>20020</v>
      </c>
      <c r="AH519">
        <v>14836.32</v>
      </c>
      <c r="AI519" s="5">
        <v>0.323485086342229</v>
      </c>
    </row>
    <row r="520" spans="14:35" x14ac:dyDescent="0.25">
      <c r="N520" t="s">
        <v>540</v>
      </c>
      <c r="O520" s="1">
        <v>46159.75</v>
      </c>
      <c r="P520" t="s">
        <v>389</v>
      </c>
      <c r="Q520" t="s">
        <v>277</v>
      </c>
      <c r="R520" t="s">
        <v>32</v>
      </c>
      <c r="S520">
        <v>93</v>
      </c>
      <c r="T520" t="s">
        <v>390</v>
      </c>
      <c r="U520">
        <v>280</v>
      </c>
      <c r="V520">
        <v>110</v>
      </c>
      <c r="W520">
        <v>2.2000000000000002</v>
      </c>
      <c r="X520" t="s">
        <v>278</v>
      </c>
      <c r="Y520">
        <v>8</v>
      </c>
      <c r="Z520">
        <v>0.12</v>
      </c>
      <c r="AA520">
        <v>0.05</v>
      </c>
      <c r="AB520">
        <v>26040</v>
      </c>
      <c r="AC520">
        <v>24738</v>
      </c>
      <c r="AD520">
        <v>204.60000000000002</v>
      </c>
      <c r="AE520">
        <v>2968.56</v>
      </c>
      <c r="AF520">
        <v>2969</v>
      </c>
      <c r="AG520">
        <v>10230</v>
      </c>
      <c r="AH520">
        <v>8570.44</v>
      </c>
      <c r="AI520" s="5">
        <v>0.346448379012046</v>
      </c>
    </row>
    <row r="521" spans="14:35" x14ac:dyDescent="0.25">
      <c r="N521" t="s">
        <v>541</v>
      </c>
      <c r="O521" s="1">
        <v>46160.291666666664</v>
      </c>
      <c r="P521" t="s">
        <v>389</v>
      </c>
      <c r="Q521" t="s">
        <v>277</v>
      </c>
      <c r="R521" t="s">
        <v>24</v>
      </c>
      <c r="S521">
        <v>74</v>
      </c>
      <c r="T521" t="s">
        <v>390</v>
      </c>
      <c r="U521">
        <v>280</v>
      </c>
      <c r="V521">
        <v>110</v>
      </c>
      <c r="W521">
        <v>2.2000000000000002</v>
      </c>
      <c r="X521" t="s">
        <v>278</v>
      </c>
      <c r="Y521">
        <v>8</v>
      </c>
      <c r="Z521">
        <v>0.12</v>
      </c>
      <c r="AA521">
        <v>0.02</v>
      </c>
      <c r="AB521">
        <v>20720</v>
      </c>
      <c r="AC521">
        <v>20306</v>
      </c>
      <c r="AD521">
        <v>162.80000000000001</v>
      </c>
      <c r="AE521">
        <v>2436.7199999999998</v>
      </c>
      <c r="AF521">
        <v>2437</v>
      </c>
      <c r="AG521">
        <v>8140</v>
      </c>
      <c r="AH521">
        <v>7292.2800000000007</v>
      </c>
      <c r="AI521" s="5">
        <v>0.359119472077219</v>
      </c>
    </row>
    <row r="522" spans="14:35" x14ac:dyDescent="0.25">
      <c r="N522" t="s">
        <v>542</v>
      </c>
      <c r="O522" s="1">
        <v>46160.458333333336</v>
      </c>
      <c r="P522" t="s">
        <v>389</v>
      </c>
      <c r="Q522" t="s">
        <v>277</v>
      </c>
      <c r="R522" t="s">
        <v>29</v>
      </c>
      <c r="S522">
        <v>50</v>
      </c>
      <c r="T522" t="s">
        <v>390</v>
      </c>
      <c r="U522">
        <v>280</v>
      </c>
      <c r="V522">
        <v>110</v>
      </c>
      <c r="W522">
        <v>2.2000000000000002</v>
      </c>
      <c r="X522" t="s">
        <v>278</v>
      </c>
      <c r="Y522">
        <v>8</v>
      </c>
      <c r="Z522">
        <v>0.12</v>
      </c>
      <c r="AA522">
        <v>0.1</v>
      </c>
      <c r="AB522">
        <v>14000</v>
      </c>
      <c r="AC522">
        <v>12600</v>
      </c>
      <c r="AD522">
        <v>110.00000000000001</v>
      </c>
      <c r="AE522">
        <v>1512</v>
      </c>
      <c r="AF522">
        <v>1512</v>
      </c>
      <c r="AG522">
        <v>5500</v>
      </c>
      <c r="AH522">
        <v>4076</v>
      </c>
      <c r="AI522" s="5">
        <v>0.323492063492064</v>
      </c>
    </row>
    <row r="523" spans="14:35" x14ac:dyDescent="0.25">
      <c r="N523" t="s">
        <v>543</v>
      </c>
      <c r="O523" s="1">
        <v>46160.666666666664</v>
      </c>
      <c r="P523" t="s">
        <v>389</v>
      </c>
      <c r="Q523" t="s">
        <v>277</v>
      </c>
      <c r="R523" t="s">
        <v>32</v>
      </c>
      <c r="S523">
        <v>44</v>
      </c>
      <c r="T523" t="s">
        <v>390</v>
      </c>
      <c r="U523">
        <v>280</v>
      </c>
      <c r="V523">
        <v>110</v>
      </c>
      <c r="W523">
        <v>2.2000000000000002</v>
      </c>
      <c r="X523" t="s">
        <v>278</v>
      </c>
      <c r="Y523">
        <v>8</v>
      </c>
      <c r="Z523">
        <v>0.12</v>
      </c>
      <c r="AA523">
        <v>0.05</v>
      </c>
      <c r="AB523">
        <v>12320</v>
      </c>
      <c r="AC523">
        <v>11704</v>
      </c>
      <c r="AD523">
        <v>96.800000000000011</v>
      </c>
      <c r="AE523">
        <v>1404.48</v>
      </c>
      <c r="AF523">
        <v>1404</v>
      </c>
      <c r="AG523">
        <v>4840</v>
      </c>
      <c r="AH523">
        <v>4055.5200000000004</v>
      </c>
      <c r="AI523" s="5">
        <v>0.34650717703349299</v>
      </c>
    </row>
    <row r="524" spans="14:35" x14ac:dyDescent="0.25">
      <c r="N524" t="s">
        <v>544</v>
      </c>
      <c r="O524" s="1">
        <v>46160.791666666664</v>
      </c>
      <c r="P524" t="s">
        <v>389</v>
      </c>
      <c r="Q524" t="s">
        <v>277</v>
      </c>
      <c r="R524" t="s">
        <v>32</v>
      </c>
      <c r="S524">
        <v>133</v>
      </c>
      <c r="T524" t="s">
        <v>390</v>
      </c>
      <c r="U524">
        <v>280</v>
      </c>
      <c r="V524">
        <v>110</v>
      </c>
      <c r="W524">
        <v>2.2000000000000002</v>
      </c>
      <c r="X524" t="s">
        <v>278</v>
      </c>
      <c r="Y524">
        <v>8</v>
      </c>
      <c r="Z524">
        <v>0.12</v>
      </c>
      <c r="AA524">
        <v>0.05</v>
      </c>
      <c r="AB524">
        <v>37240</v>
      </c>
      <c r="AC524">
        <v>35378</v>
      </c>
      <c r="AD524">
        <v>292.60000000000002</v>
      </c>
      <c r="AE524">
        <v>4245.3599999999997</v>
      </c>
      <c r="AF524">
        <v>4245</v>
      </c>
      <c r="AG524">
        <v>14630</v>
      </c>
      <c r="AH524">
        <v>12257.64</v>
      </c>
      <c r="AI524" s="5">
        <v>0.346476341229012</v>
      </c>
    </row>
    <row r="525" spans="14:35" x14ac:dyDescent="0.25">
      <c r="N525" t="s">
        <v>545</v>
      </c>
      <c r="O525" s="1">
        <v>46161</v>
      </c>
      <c r="P525" t="s">
        <v>389</v>
      </c>
      <c r="Q525" t="s">
        <v>277</v>
      </c>
      <c r="R525" t="s">
        <v>29</v>
      </c>
      <c r="S525">
        <v>141</v>
      </c>
      <c r="T525" t="s">
        <v>390</v>
      </c>
      <c r="U525">
        <v>280</v>
      </c>
      <c r="V525">
        <v>110</v>
      </c>
      <c r="W525">
        <v>2.2000000000000002</v>
      </c>
      <c r="X525" t="s">
        <v>278</v>
      </c>
      <c r="Y525">
        <v>8</v>
      </c>
      <c r="Z525">
        <v>0.12</v>
      </c>
      <c r="AA525">
        <v>0.1</v>
      </c>
      <c r="AB525">
        <v>39480</v>
      </c>
      <c r="AC525">
        <v>35532</v>
      </c>
      <c r="AD525">
        <v>310.20000000000005</v>
      </c>
      <c r="AE525">
        <v>4263.84</v>
      </c>
      <c r="AF525">
        <v>4264</v>
      </c>
      <c r="AG525">
        <v>15510</v>
      </c>
      <c r="AH525">
        <v>11494.16</v>
      </c>
      <c r="AI525" s="5">
        <v>0.32348756050883698</v>
      </c>
    </row>
    <row r="526" spans="14:35" x14ac:dyDescent="0.25">
      <c r="N526" t="s">
        <v>546</v>
      </c>
      <c r="O526" s="1">
        <v>46161.125</v>
      </c>
      <c r="P526" t="s">
        <v>389</v>
      </c>
      <c r="Q526" t="s">
        <v>277</v>
      </c>
      <c r="R526" t="s">
        <v>24</v>
      </c>
      <c r="S526">
        <v>145</v>
      </c>
      <c r="T526" t="s">
        <v>390</v>
      </c>
      <c r="U526">
        <v>280</v>
      </c>
      <c r="V526">
        <v>110</v>
      </c>
      <c r="W526">
        <v>2.2000000000000002</v>
      </c>
      <c r="X526" t="s">
        <v>278</v>
      </c>
      <c r="Y526">
        <v>8</v>
      </c>
      <c r="Z526">
        <v>0.12</v>
      </c>
      <c r="AA526">
        <v>0.02</v>
      </c>
      <c r="AB526">
        <v>40600</v>
      </c>
      <c r="AC526">
        <v>39788</v>
      </c>
      <c r="AD526">
        <v>319</v>
      </c>
      <c r="AE526">
        <v>4774.5599999999995</v>
      </c>
      <c r="AF526">
        <v>4775</v>
      </c>
      <c r="AG526">
        <v>15950</v>
      </c>
      <c r="AH526">
        <v>14288.440000000002</v>
      </c>
      <c r="AI526" s="5">
        <v>0.35911430582085102</v>
      </c>
    </row>
    <row r="527" spans="14:35" x14ac:dyDescent="0.25">
      <c r="N527" t="s">
        <v>547</v>
      </c>
      <c r="O527" s="1">
        <v>46161.458333333336</v>
      </c>
      <c r="P527" t="s">
        <v>389</v>
      </c>
      <c r="Q527" t="s">
        <v>277</v>
      </c>
      <c r="R527" t="s">
        <v>24</v>
      </c>
      <c r="S527">
        <v>69</v>
      </c>
      <c r="T527" t="s">
        <v>390</v>
      </c>
      <c r="U527">
        <v>280</v>
      </c>
      <c r="V527">
        <v>110</v>
      </c>
      <c r="W527">
        <v>2.2000000000000002</v>
      </c>
      <c r="X527" t="s">
        <v>278</v>
      </c>
      <c r="Y527">
        <v>8</v>
      </c>
      <c r="Z527">
        <v>0.12</v>
      </c>
      <c r="AA527">
        <v>0.02</v>
      </c>
      <c r="AB527">
        <v>19320</v>
      </c>
      <c r="AC527">
        <v>18934</v>
      </c>
      <c r="AD527">
        <v>151.80000000000001</v>
      </c>
      <c r="AE527">
        <v>2272.08</v>
      </c>
      <c r="AF527">
        <v>2272</v>
      </c>
      <c r="AG527">
        <v>7590</v>
      </c>
      <c r="AH527">
        <v>6799.92</v>
      </c>
      <c r="AI527" s="5">
        <v>0.35913805851906599</v>
      </c>
    </row>
    <row r="528" spans="14:35" x14ac:dyDescent="0.25">
      <c r="N528" t="s">
        <v>548</v>
      </c>
      <c r="O528" s="1">
        <v>46161.583333333336</v>
      </c>
      <c r="P528" t="s">
        <v>389</v>
      </c>
      <c r="Q528" t="s">
        <v>277</v>
      </c>
      <c r="R528" t="s">
        <v>32</v>
      </c>
      <c r="S528">
        <v>92</v>
      </c>
      <c r="T528" t="s">
        <v>390</v>
      </c>
      <c r="U528">
        <v>280</v>
      </c>
      <c r="V528">
        <v>110</v>
      </c>
      <c r="W528">
        <v>2.2000000000000002</v>
      </c>
      <c r="X528" t="s">
        <v>278</v>
      </c>
      <c r="Y528">
        <v>8</v>
      </c>
      <c r="Z528">
        <v>0.12</v>
      </c>
      <c r="AA528">
        <v>0.05</v>
      </c>
      <c r="AB528">
        <v>25760</v>
      </c>
      <c r="AC528">
        <v>24472</v>
      </c>
      <c r="AD528">
        <v>202.4</v>
      </c>
      <c r="AE528">
        <v>2936.64</v>
      </c>
      <c r="AF528">
        <v>2937</v>
      </c>
      <c r="AG528">
        <v>10120</v>
      </c>
      <c r="AH528">
        <v>8478.36</v>
      </c>
      <c r="AI528" s="5">
        <v>0.34645145472376598</v>
      </c>
    </row>
    <row r="529" spans="14:35" x14ac:dyDescent="0.25">
      <c r="N529" t="s">
        <v>549</v>
      </c>
      <c r="O529" s="1">
        <v>46161.833333333336</v>
      </c>
      <c r="P529" t="s">
        <v>389</v>
      </c>
      <c r="Q529" t="s">
        <v>277</v>
      </c>
      <c r="R529" t="s">
        <v>29</v>
      </c>
      <c r="S529">
        <v>110</v>
      </c>
      <c r="T529" t="s">
        <v>390</v>
      </c>
      <c r="U529">
        <v>280</v>
      </c>
      <c r="V529">
        <v>110</v>
      </c>
      <c r="W529">
        <v>2.2000000000000002</v>
      </c>
      <c r="X529" t="s">
        <v>278</v>
      </c>
      <c r="Y529">
        <v>8</v>
      </c>
      <c r="Z529">
        <v>0.12</v>
      </c>
      <c r="AA529">
        <v>0.1</v>
      </c>
      <c r="AB529">
        <v>30800</v>
      </c>
      <c r="AC529">
        <v>27720</v>
      </c>
      <c r="AD529">
        <v>242.00000000000003</v>
      </c>
      <c r="AE529">
        <v>3326.4</v>
      </c>
      <c r="AF529">
        <v>3326</v>
      </c>
      <c r="AG529">
        <v>12100</v>
      </c>
      <c r="AH529">
        <v>8967.5999999999985</v>
      </c>
      <c r="AI529" s="5">
        <v>0.32350649350649302</v>
      </c>
    </row>
    <row r="530" spans="14:35" x14ac:dyDescent="0.25">
      <c r="N530" t="s">
        <v>550</v>
      </c>
      <c r="O530" s="1">
        <v>46161.958333333336</v>
      </c>
      <c r="P530" t="s">
        <v>389</v>
      </c>
      <c r="Q530" t="s">
        <v>277</v>
      </c>
      <c r="R530" t="s">
        <v>32</v>
      </c>
      <c r="S530">
        <v>120</v>
      </c>
      <c r="T530" t="s">
        <v>390</v>
      </c>
      <c r="U530">
        <v>280</v>
      </c>
      <c r="V530">
        <v>110</v>
      </c>
      <c r="W530">
        <v>2.2000000000000002</v>
      </c>
      <c r="X530" t="s">
        <v>278</v>
      </c>
      <c r="Y530">
        <v>8</v>
      </c>
      <c r="Z530">
        <v>0.12</v>
      </c>
      <c r="AA530">
        <v>0.05</v>
      </c>
      <c r="AB530">
        <v>33600</v>
      </c>
      <c r="AC530">
        <v>31920</v>
      </c>
      <c r="AD530">
        <v>264</v>
      </c>
      <c r="AE530">
        <v>3830.3999999999996</v>
      </c>
      <c r="AF530">
        <v>3830</v>
      </c>
      <c r="AG530">
        <v>13200</v>
      </c>
      <c r="AH530">
        <v>11059.599999999999</v>
      </c>
      <c r="AI530" s="5">
        <v>0.346478696741855</v>
      </c>
    </row>
    <row r="531" spans="14:35" x14ac:dyDescent="0.25">
      <c r="N531" t="s">
        <v>551</v>
      </c>
      <c r="O531" s="1">
        <v>46162.291666666664</v>
      </c>
      <c r="P531" t="s">
        <v>389</v>
      </c>
      <c r="Q531" t="s">
        <v>277</v>
      </c>
      <c r="R531" t="s">
        <v>29</v>
      </c>
      <c r="S531">
        <v>109</v>
      </c>
      <c r="T531" t="s">
        <v>390</v>
      </c>
      <c r="U531">
        <v>280</v>
      </c>
      <c r="V531">
        <v>110</v>
      </c>
      <c r="W531">
        <v>2.2000000000000002</v>
      </c>
      <c r="X531" t="s">
        <v>278</v>
      </c>
      <c r="Y531">
        <v>8</v>
      </c>
      <c r="Z531">
        <v>0.12</v>
      </c>
      <c r="AA531">
        <v>0.1</v>
      </c>
      <c r="AB531">
        <v>30520</v>
      </c>
      <c r="AC531">
        <v>27468</v>
      </c>
      <c r="AD531">
        <v>239.8</v>
      </c>
      <c r="AE531">
        <v>3296.16</v>
      </c>
      <c r="AF531">
        <v>3296</v>
      </c>
      <c r="AG531">
        <v>11990</v>
      </c>
      <c r="AH531">
        <v>8885.84</v>
      </c>
      <c r="AI531" s="5">
        <v>0.32349788845201699</v>
      </c>
    </row>
    <row r="532" spans="14:35" x14ac:dyDescent="0.25">
      <c r="N532" t="s">
        <v>552</v>
      </c>
      <c r="O532" s="1">
        <v>46162.5</v>
      </c>
      <c r="P532" t="s">
        <v>389</v>
      </c>
      <c r="Q532" t="s">
        <v>277</v>
      </c>
      <c r="R532" t="s">
        <v>24</v>
      </c>
      <c r="S532">
        <v>170</v>
      </c>
      <c r="T532" t="s">
        <v>390</v>
      </c>
      <c r="U532">
        <v>280</v>
      </c>
      <c r="V532">
        <v>110</v>
      </c>
      <c r="W532">
        <v>2.2000000000000002</v>
      </c>
      <c r="X532" t="s">
        <v>278</v>
      </c>
      <c r="Y532">
        <v>8</v>
      </c>
      <c r="Z532">
        <v>0.12</v>
      </c>
      <c r="AA532">
        <v>0.02</v>
      </c>
      <c r="AB532">
        <v>47600</v>
      </c>
      <c r="AC532">
        <v>46648</v>
      </c>
      <c r="AD532">
        <v>374.00000000000006</v>
      </c>
      <c r="AE532">
        <v>5597.76</v>
      </c>
      <c r="AF532">
        <v>5598</v>
      </c>
      <c r="AG532">
        <v>18700</v>
      </c>
      <c r="AH532">
        <v>16752.239999999998</v>
      </c>
      <c r="AI532" s="5">
        <v>0.35912021951637801</v>
      </c>
    </row>
    <row r="533" spans="14:35" x14ac:dyDescent="0.25">
      <c r="N533" t="s">
        <v>553</v>
      </c>
      <c r="O533" s="1">
        <v>46162.541666666664</v>
      </c>
      <c r="P533" t="s">
        <v>389</v>
      </c>
      <c r="Q533" t="s">
        <v>277</v>
      </c>
      <c r="R533" t="s">
        <v>32</v>
      </c>
      <c r="S533">
        <v>162</v>
      </c>
      <c r="T533" t="s">
        <v>390</v>
      </c>
      <c r="U533">
        <v>280</v>
      </c>
      <c r="V533">
        <v>110</v>
      </c>
      <c r="W533">
        <v>2.2000000000000002</v>
      </c>
      <c r="X533" t="s">
        <v>278</v>
      </c>
      <c r="Y533">
        <v>8</v>
      </c>
      <c r="Z533">
        <v>0.12</v>
      </c>
      <c r="AA533">
        <v>0.05</v>
      </c>
      <c r="AB533">
        <v>45360</v>
      </c>
      <c r="AC533">
        <v>43092</v>
      </c>
      <c r="AD533">
        <v>356.40000000000003</v>
      </c>
      <c r="AE533">
        <v>5171.04</v>
      </c>
      <c r="AF533">
        <v>5171</v>
      </c>
      <c r="AG533">
        <v>17820</v>
      </c>
      <c r="AH533">
        <v>14929.96</v>
      </c>
      <c r="AI533" s="5">
        <v>0.346467093660076</v>
      </c>
    </row>
    <row r="534" spans="14:35" x14ac:dyDescent="0.25">
      <c r="N534" t="s">
        <v>554</v>
      </c>
      <c r="O534" s="1">
        <v>46163.208333333336</v>
      </c>
      <c r="P534" t="s">
        <v>389</v>
      </c>
      <c r="Q534" t="s">
        <v>277</v>
      </c>
      <c r="R534" t="s">
        <v>32</v>
      </c>
      <c r="S534">
        <v>199</v>
      </c>
      <c r="T534" t="s">
        <v>390</v>
      </c>
      <c r="U534">
        <v>280</v>
      </c>
      <c r="V534">
        <v>110</v>
      </c>
      <c r="W534">
        <v>2.2000000000000002</v>
      </c>
      <c r="X534" t="s">
        <v>278</v>
      </c>
      <c r="Y534">
        <v>8</v>
      </c>
      <c r="Z534">
        <v>0.12</v>
      </c>
      <c r="AA534">
        <v>0.05</v>
      </c>
      <c r="AB534">
        <v>55720</v>
      </c>
      <c r="AC534">
        <v>52934</v>
      </c>
      <c r="AD534">
        <v>437.8</v>
      </c>
      <c r="AE534">
        <v>6352.08</v>
      </c>
      <c r="AF534">
        <v>6352</v>
      </c>
      <c r="AG534">
        <v>21890</v>
      </c>
      <c r="AH534">
        <v>18339.919999999998</v>
      </c>
      <c r="AI534" s="5">
        <v>0.34646767672951201</v>
      </c>
    </row>
    <row r="535" spans="14:35" x14ac:dyDescent="0.25">
      <c r="N535" t="s">
        <v>555</v>
      </c>
      <c r="O535" s="1">
        <v>46163.25</v>
      </c>
      <c r="P535" t="s">
        <v>389</v>
      </c>
      <c r="Q535" t="s">
        <v>277</v>
      </c>
      <c r="R535" t="s">
        <v>32</v>
      </c>
      <c r="S535">
        <v>12</v>
      </c>
      <c r="T535" t="s">
        <v>390</v>
      </c>
      <c r="U535">
        <v>280</v>
      </c>
      <c r="V535">
        <v>110</v>
      </c>
      <c r="W535">
        <v>2.2000000000000002</v>
      </c>
      <c r="X535" t="s">
        <v>278</v>
      </c>
      <c r="Y535">
        <v>8</v>
      </c>
      <c r="Z535">
        <v>0.12</v>
      </c>
      <c r="AA535">
        <v>0.05</v>
      </c>
      <c r="AB535">
        <v>3360</v>
      </c>
      <c r="AC535">
        <v>3192</v>
      </c>
      <c r="AD535">
        <v>26.400000000000002</v>
      </c>
      <c r="AE535">
        <v>383.03999999999996</v>
      </c>
      <c r="AF535">
        <v>383</v>
      </c>
      <c r="AG535">
        <v>1320</v>
      </c>
      <c r="AH535">
        <v>1105.96</v>
      </c>
      <c r="AI535" s="5">
        <v>0.346478696741855</v>
      </c>
    </row>
    <row r="536" spans="14:35" x14ac:dyDescent="0.25">
      <c r="N536" t="s">
        <v>556</v>
      </c>
      <c r="O536" s="1">
        <v>46163.5</v>
      </c>
      <c r="P536" t="s">
        <v>389</v>
      </c>
      <c r="Q536" t="s">
        <v>277</v>
      </c>
      <c r="R536" t="s">
        <v>24</v>
      </c>
      <c r="S536">
        <v>52</v>
      </c>
      <c r="T536" t="s">
        <v>390</v>
      </c>
      <c r="U536">
        <v>280</v>
      </c>
      <c r="V536">
        <v>110</v>
      </c>
      <c r="W536">
        <v>2.2000000000000002</v>
      </c>
      <c r="X536" t="s">
        <v>278</v>
      </c>
      <c r="Y536">
        <v>8</v>
      </c>
      <c r="Z536">
        <v>0.12</v>
      </c>
      <c r="AA536">
        <v>0.02</v>
      </c>
      <c r="AB536">
        <v>14560</v>
      </c>
      <c r="AC536">
        <v>14269</v>
      </c>
      <c r="AD536">
        <v>114.4</v>
      </c>
      <c r="AE536">
        <v>1712.28</v>
      </c>
      <c r="AF536">
        <v>1712</v>
      </c>
      <c r="AG536">
        <v>5720</v>
      </c>
      <c r="AH536">
        <v>5124.7200000000012</v>
      </c>
      <c r="AI536" s="5">
        <v>0.35915060620926498</v>
      </c>
    </row>
    <row r="537" spans="14:35" x14ac:dyDescent="0.25">
      <c r="N537" t="s">
        <v>557</v>
      </c>
      <c r="O537" s="1">
        <v>46164.583333333336</v>
      </c>
      <c r="P537" t="s">
        <v>389</v>
      </c>
      <c r="Q537" t="s">
        <v>277</v>
      </c>
      <c r="R537" t="s">
        <v>24</v>
      </c>
      <c r="S537">
        <v>61</v>
      </c>
      <c r="T537" t="s">
        <v>390</v>
      </c>
      <c r="U537">
        <v>280</v>
      </c>
      <c r="V537">
        <v>110</v>
      </c>
      <c r="W537">
        <v>2.2000000000000002</v>
      </c>
      <c r="X537" t="s">
        <v>278</v>
      </c>
      <c r="Y537">
        <v>8</v>
      </c>
      <c r="Z537">
        <v>0.12</v>
      </c>
      <c r="AA537">
        <v>0.02</v>
      </c>
      <c r="AB537">
        <v>17080</v>
      </c>
      <c r="AC537">
        <v>16738</v>
      </c>
      <c r="AD537">
        <v>134.20000000000002</v>
      </c>
      <c r="AE537">
        <v>2008.56</v>
      </c>
      <c r="AF537">
        <v>2009</v>
      </c>
      <c r="AG537">
        <v>6710</v>
      </c>
      <c r="AH537">
        <v>6010.4400000000005</v>
      </c>
      <c r="AI537" s="5">
        <v>0.35908949695304099</v>
      </c>
    </row>
    <row r="538" spans="14:35" x14ac:dyDescent="0.25">
      <c r="N538" t="s">
        <v>558</v>
      </c>
      <c r="O538" s="1">
        <v>46165</v>
      </c>
      <c r="P538" t="s">
        <v>389</v>
      </c>
      <c r="Q538" t="s">
        <v>277</v>
      </c>
      <c r="R538" t="s">
        <v>24</v>
      </c>
      <c r="S538">
        <v>99</v>
      </c>
      <c r="T538" t="s">
        <v>390</v>
      </c>
      <c r="U538">
        <v>280</v>
      </c>
      <c r="V538">
        <v>110</v>
      </c>
      <c r="W538">
        <v>2.2000000000000002</v>
      </c>
      <c r="X538" t="s">
        <v>278</v>
      </c>
      <c r="Y538">
        <v>8</v>
      </c>
      <c r="Z538">
        <v>0.12</v>
      </c>
      <c r="AA538">
        <v>0.02</v>
      </c>
      <c r="AB538">
        <v>27720</v>
      </c>
      <c r="AC538">
        <v>27166</v>
      </c>
      <c r="AD538">
        <v>217.8</v>
      </c>
      <c r="AE538">
        <v>3259.92</v>
      </c>
      <c r="AF538">
        <v>3260</v>
      </c>
      <c r="AG538">
        <v>10890</v>
      </c>
      <c r="AH538">
        <v>9756.0800000000017</v>
      </c>
      <c r="AI538" s="5">
        <v>0.35912832216741503</v>
      </c>
    </row>
    <row r="539" spans="14:35" x14ac:dyDescent="0.25">
      <c r="N539" t="s">
        <v>559</v>
      </c>
      <c r="O539" s="1">
        <v>46165.25</v>
      </c>
      <c r="P539" t="s">
        <v>389</v>
      </c>
      <c r="Q539" t="s">
        <v>277</v>
      </c>
      <c r="R539" t="s">
        <v>29</v>
      </c>
      <c r="S539">
        <v>77</v>
      </c>
      <c r="T539" t="s">
        <v>390</v>
      </c>
      <c r="U539">
        <v>280</v>
      </c>
      <c r="V539">
        <v>110</v>
      </c>
      <c r="W539">
        <v>2.2000000000000002</v>
      </c>
      <c r="X539" t="s">
        <v>278</v>
      </c>
      <c r="Y539">
        <v>8</v>
      </c>
      <c r="Z539">
        <v>0.12</v>
      </c>
      <c r="AA539">
        <v>0.1</v>
      </c>
      <c r="AB539">
        <v>21560</v>
      </c>
      <c r="AC539">
        <v>19404</v>
      </c>
      <c r="AD539">
        <v>169.4</v>
      </c>
      <c r="AE539">
        <v>2328.48</v>
      </c>
      <c r="AF539">
        <v>2328</v>
      </c>
      <c r="AG539">
        <v>8470</v>
      </c>
      <c r="AH539">
        <v>6277.52</v>
      </c>
      <c r="AI539" s="5">
        <v>0.32351680065965799</v>
      </c>
    </row>
    <row r="540" spans="14:35" x14ac:dyDescent="0.25">
      <c r="N540" t="s">
        <v>560</v>
      </c>
      <c r="O540" s="1">
        <v>46165.333333333336</v>
      </c>
      <c r="P540" t="s">
        <v>389</v>
      </c>
      <c r="Q540" t="s">
        <v>277</v>
      </c>
      <c r="R540" t="s">
        <v>29</v>
      </c>
      <c r="S540">
        <v>36</v>
      </c>
      <c r="T540" t="s">
        <v>390</v>
      </c>
      <c r="U540">
        <v>280</v>
      </c>
      <c r="V540">
        <v>110</v>
      </c>
      <c r="W540">
        <v>2.2000000000000002</v>
      </c>
      <c r="X540" t="s">
        <v>278</v>
      </c>
      <c r="Y540">
        <v>8</v>
      </c>
      <c r="Z540">
        <v>0.12</v>
      </c>
      <c r="AA540">
        <v>0.1</v>
      </c>
      <c r="AB540">
        <v>10080</v>
      </c>
      <c r="AC540">
        <v>9072</v>
      </c>
      <c r="AD540">
        <v>79.2</v>
      </c>
      <c r="AE540">
        <v>1088.6399999999999</v>
      </c>
      <c r="AF540">
        <v>1089</v>
      </c>
      <c r="AG540">
        <v>3960</v>
      </c>
      <c r="AH540">
        <v>2934.3600000000006</v>
      </c>
      <c r="AI540" s="5">
        <v>0.32345238095238099</v>
      </c>
    </row>
    <row r="541" spans="14:35" x14ac:dyDescent="0.25">
      <c r="N541" t="s">
        <v>561</v>
      </c>
      <c r="O541" s="1">
        <v>46165.541666666664</v>
      </c>
      <c r="P541" t="s">
        <v>389</v>
      </c>
      <c r="Q541" t="s">
        <v>277</v>
      </c>
      <c r="R541" t="s">
        <v>29</v>
      </c>
      <c r="S541">
        <v>147</v>
      </c>
      <c r="T541" t="s">
        <v>390</v>
      </c>
      <c r="U541">
        <v>280</v>
      </c>
      <c r="V541">
        <v>110</v>
      </c>
      <c r="W541">
        <v>2.2000000000000002</v>
      </c>
      <c r="X541" t="s">
        <v>278</v>
      </c>
      <c r="Y541">
        <v>8</v>
      </c>
      <c r="Z541">
        <v>0.12</v>
      </c>
      <c r="AA541">
        <v>0.1</v>
      </c>
      <c r="AB541">
        <v>41160</v>
      </c>
      <c r="AC541">
        <v>37044</v>
      </c>
      <c r="AD541">
        <v>323.40000000000003</v>
      </c>
      <c r="AE541">
        <v>4445.28</v>
      </c>
      <c r="AF541">
        <v>4445</v>
      </c>
      <c r="AG541">
        <v>16170</v>
      </c>
      <c r="AH541">
        <v>11983.720000000001</v>
      </c>
      <c r="AI541" s="5">
        <v>0.32349962207105099</v>
      </c>
    </row>
    <row r="542" spans="14:35" x14ac:dyDescent="0.25">
      <c r="N542" t="s">
        <v>562</v>
      </c>
      <c r="O542" s="1">
        <v>46165.625</v>
      </c>
      <c r="P542" t="s">
        <v>389</v>
      </c>
      <c r="Q542" t="s">
        <v>277</v>
      </c>
      <c r="R542" t="s">
        <v>24</v>
      </c>
      <c r="S542">
        <v>199</v>
      </c>
      <c r="T542" t="s">
        <v>390</v>
      </c>
      <c r="U542">
        <v>280</v>
      </c>
      <c r="V542">
        <v>110</v>
      </c>
      <c r="W542">
        <v>2.2000000000000002</v>
      </c>
      <c r="X542" t="s">
        <v>278</v>
      </c>
      <c r="Y542">
        <v>8</v>
      </c>
      <c r="Z542">
        <v>0.12</v>
      </c>
      <c r="AA542">
        <v>0.02</v>
      </c>
      <c r="AB542">
        <v>55720</v>
      </c>
      <c r="AC542">
        <v>54606</v>
      </c>
      <c r="AD542">
        <v>437.8</v>
      </c>
      <c r="AE542">
        <v>6552.7199999999993</v>
      </c>
      <c r="AF542">
        <v>6553</v>
      </c>
      <c r="AG542">
        <v>21890</v>
      </c>
      <c r="AH542">
        <v>19610.28</v>
      </c>
      <c r="AI542" s="5">
        <v>0.35912317327766202</v>
      </c>
    </row>
    <row r="543" spans="14:35" x14ac:dyDescent="0.25">
      <c r="N543" t="s">
        <v>563</v>
      </c>
      <c r="O543" s="1">
        <v>46165.833333333336</v>
      </c>
      <c r="P543" t="s">
        <v>389</v>
      </c>
      <c r="Q543" t="s">
        <v>277</v>
      </c>
      <c r="R543" t="s">
        <v>29</v>
      </c>
      <c r="S543">
        <v>117</v>
      </c>
      <c r="T543" t="s">
        <v>390</v>
      </c>
      <c r="U543">
        <v>280</v>
      </c>
      <c r="V543">
        <v>110</v>
      </c>
      <c r="W543">
        <v>2.2000000000000002</v>
      </c>
      <c r="X543" t="s">
        <v>278</v>
      </c>
      <c r="Y543">
        <v>8</v>
      </c>
      <c r="Z543">
        <v>0.12</v>
      </c>
      <c r="AA543">
        <v>0.1</v>
      </c>
      <c r="AB543">
        <v>32760</v>
      </c>
      <c r="AC543">
        <v>29484</v>
      </c>
      <c r="AD543">
        <v>257.40000000000003</v>
      </c>
      <c r="AE543">
        <v>3538.08</v>
      </c>
      <c r="AF543">
        <v>3538</v>
      </c>
      <c r="AG543">
        <v>12870</v>
      </c>
      <c r="AH543">
        <v>9537.9199999999983</v>
      </c>
      <c r="AI543" s="5">
        <v>0.32349477682811001</v>
      </c>
    </row>
    <row r="544" spans="14:35" x14ac:dyDescent="0.25">
      <c r="N544" t="s">
        <v>564</v>
      </c>
      <c r="O544" s="1">
        <v>46166.083333333336</v>
      </c>
      <c r="P544" t="s">
        <v>389</v>
      </c>
      <c r="Q544" t="s">
        <v>277</v>
      </c>
      <c r="R544" t="s">
        <v>24</v>
      </c>
      <c r="S544">
        <v>181</v>
      </c>
      <c r="T544" t="s">
        <v>390</v>
      </c>
      <c r="U544">
        <v>280</v>
      </c>
      <c r="V544">
        <v>110</v>
      </c>
      <c r="W544">
        <v>2.2000000000000002</v>
      </c>
      <c r="X544" t="s">
        <v>278</v>
      </c>
      <c r="Y544">
        <v>8</v>
      </c>
      <c r="Z544">
        <v>0.12</v>
      </c>
      <c r="AA544">
        <v>0.02</v>
      </c>
      <c r="AB544">
        <v>50680</v>
      </c>
      <c r="AC544">
        <v>49666</v>
      </c>
      <c r="AD544">
        <v>398.20000000000005</v>
      </c>
      <c r="AE544">
        <v>5959.92</v>
      </c>
      <c r="AF544">
        <v>5960</v>
      </c>
      <c r="AG544">
        <v>19910</v>
      </c>
      <c r="AH544">
        <v>17836.080000000002</v>
      </c>
      <c r="AI544" s="5">
        <v>0.35912052510772002</v>
      </c>
    </row>
    <row r="545" spans="14:35" x14ac:dyDescent="0.25">
      <c r="N545" t="s">
        <v>565</v>
      </c>
      <c r="O545" s="1">
        <v>46166.208333333336</v>
      </c>
      <c r="P545" t="s">
        <v>389</v>
      </c>
      <c r="Q545" t="s">
        <v>277</v>
      </c>
      <c r="R545" t="s">
        <v>24</v>
      </c>
      <c r="S545">
        <v>122</v>
      </c>
      <c r="T545" t="s">
        <v>390</v>
      </c>
      <c r="U545">
        <v>280</v>
      </c>
      <c r="V545">
        <v>110</v>
      </c>
      <c r="W545">
        <v>2.2000000000000002</v>
      </c>
      <c r="X545" t="s">
        <v>278</v>
      </c>
      <c r="Y545">
        <v>8</v>
      </c>
      <c r="Z545">
        <v>0.12</v>
      </c>
      <c r="AA545">
        <v>0.02</v>
      </c>
      <c r="AB545">
        <v>34160</v>
      </c>
      <c r="AC545">
        <v>33477</v>
      </c>
      <c r="AD545">
        <v>268.40000000000003</v>
      </c>
      <c r="AE545">
        <v>4017.24</v>
      </c>
      <c r="AF545">
        <v>4017</v>
      </c>
      <c r="AG545">
        <v>13420</v>
      </c>
      <c r="AH545">
        <v>12022.760000000002</v>
      </c>
      <c r="AI545" s="5">
        <v>0.35913492845834499</v>
      </c>
    </row>
    <row r="546" spans="14:35" x14ac:dyDescent="0.25">
      <c r="N546" t="s">
        <v>566</v>
      </c>
      <c r="O546" s="1">
        <v>46167.666666666664</v>
      </c>
      <c r="P546" t="s">
        <v>389</v>
      </c>
      <c r="Q546" t="s">
        <v>277</v>
      </c>
      <c r="R546" t="s">
        <v>32</v>
      </c>
      <c r="S546">
        <v>33</v>
      </c>
      <c r="T546" t="s">
        <v>390</v>
      </c>
      <c r="U546">
        <v>280</v>
      </c>
      <c r="V546">
        <v>110</v>
      </c>
      <c r="W546">
        <v>2.2000000000000002</v>
      </c>
      <c r="X546" t="s">
        <v>278</v>
      </c>
      <c r="Y546">
        <v>8</v>
      </c>
      <c r="Z546">
        <v>0.12</v>
      </c>
      <c r="AA546">
        <v>0.05</v>
      </c>
      <c r="AB546">
        <v>9240</v>
      </c>
      <c r="AC546">
        <v>8778</v>
      </c>
      <c r="AD546">
        <v>72.600000000000009</v>
      </c>
      <c r="AE546">
        <v>1053.3599999999999</v>
      </c>
      <c r="AF546">
        <v>1053</v>
      </c>
      <c r="AG546">
        <v>3630</v>
      </c>
      <c r="AH546">
        <v>3041.6400000000003</v>
      </c>
      <c r="AI546" s="5">
        <v>0.34650717703349299</v>
      </c>
    </row>
    <row r="547" spans="14:35" x14ac:dyDescent="0.25">
      <c r="N547" t="s">
        <v>567</v>
      </c>
      <c r="O547" s="1">
        <v>46167.708333333336</v>
      </c>
      <c r="P547" t="s">
        <v>389</v>
      </c>
      <c r="Q547" t="s">
        <v>277</v>
      </c>
      <c r="R547" t="s">
        <v>29</v>
      </c>
      <c r="S547">
        <v>31</v>
      </c>
      <c r="T547" t="s">
        <v>390</v>
      </c>
      <c r="U547">
        <v>280</v>
      </c>
      <c r="V547">
        <v>110</v>
      </c>
      <c r="W547">
        <v>2.2000000000000002</v>
      </c>
      <c r="X547" t="s">
        <v>278</v>
      </c>
      <c r="Y547">
        <v>8</v>
      </c>
      <c r="Z547">
        <v>0.12</v>
      </c>
      <c r="AA547">
        <v>0.1</v>
      </c>
      <c r="AB547">
        <v>8680</v>
      </c>
      <c r="AC547">
        <v>7812</v>
      </c>
      <c r="AD547">
        <v>68.2</v>
      </c>
      <c r="AE547">
        <v>937.43999999999994</v>
      </c>
      <c r="AF547">
        <v>937</v>
      </c>
      <c r="AG547">
        <v>3410</v>
      </c>
      <c r="AH547">
        <v>2527.5600000000004</v>
      </c>
      <c r="AI547" s="5">
        <v>0.32354838709677403</v>
      </c>
    </row>
    <row r="548" spans="14:35" x14ac:dyDescent="0.25">
      <c r="N548" t="s">
        <v>568</v>
      </c>
      <c r="O548" s="1">
        <v>46167.875</v>
      </c>
      <c r="P548" t="s">
        <v>389</v>
      </c>
      <c r="Q548" t="s">
        <v>277</v>
      </c>
      <c r="R548" t="s">
        <v>24</v>
      </c>
      <c r="S548">
        <v>177</v>
      </c>
      <c r="T548" t="s">
        <v>390</v>
      </c>
      <c r="U548">
        <v>280</v>
      </c>
      <c r="V548">
        <v>110</v>
      </c>
      <c r="W548">
        <v>2.2000000000000002</v>
      </c>
      <c r="X548" t="s">
        <v>278</v>
      </c>
      <c r="Y548">
        <v>8</v>
      </c>
      <c r="Z548">
        <v>0.12</v>
      </c>
      <c r="AA548">
        <v>0.02</v>
      </c>
      <c r="AB548">
        <v>49560</v>
      </c>
      <c r="AC548">
        <v>48569</v>
      </c>
      <c r="AD548">
        <v>389.40000000000003</v>
      </c>
      <c r="AE548">
        <v>5828.28</v>
      </c>
      <c r="AF548">
        <v>5828</v>
      </c>
      <c r="AG548">
        <v>19470</v>
      </c>
      <c r="AH548">
        <v>17442.72</v>
      </c>
      <c r="AI548" s="5">
        <v>0.35913278016841998</v>
      </c>
    </row>
    <row r="549" spans="14:35" x14ac:dyDescent="0.25">
      <c r="N549" t="s">
        <v>569</v>
      </c>
      <c r="O549" s="1">
        <v>46168</v>
      </c>
      <c r="P549" t="s">
        <v>389</v>
      </c>
      <c r="Q549" t="s">
        <v>277</v>
      </c>
      <c r="R549" t="s">
        <v>29</v>
      </c>
      <c r="S549">
        <v>142</v>
      </c>
      <c r="T549" t="s">
        <v>390</v>
      </c>
      <c r="U549">
        <v>280</v>
      </c>
      <c r="V549">
        <v>110</v>
      </c>
      <c r="W549">
        <v>2.2000000000000002</v>
      </c>
      <c r="X549" t="s">
        <v>278</v>
      </c>
      <c r="Y549">
        <v>8</v>
      </c>
      <c r="Z549">
        <v>0.12</v>
      </c>
      <c r="AA549">
        <v>0.1</v>
      </c>
      <c r="AB549">
        <v>39760</v>
      </c>
      <c r="AC549">
        <v>35784</v>
      </c>
      <c r="AD549">
        <v>312.40000000000003</v>
      </c>
      <c r="AE549">
        <v>4294.08</v>
      </c>
      <c r="AF549">
        <v>4294</v>
      </c>
      <c r="AG549">
        <v>15620</v>
      </c>
      <c r="AH549">
        <v>11575.919999999998</v>
      </c>
      <c r="AI549" s="5">
        <v>0.32349429912810201</v>
      </c>
    </row>
    <row r="550" spans="14:35" x14ac:dyDescent="0.25">
      <c r="N550" t="s">
        <v>570</v>
      </c>
      <c r="O550" s="1">
        <v>46168.083333333336</v>
      </c>
      <c r="P550" t="s">
        <v>389</v>
      </c>
      <c r="Q550" t="s">
        <v>277</v>
      </c>
      <c r="R550" t="s">
        <v>24</v>
      </c>
      <c r="S550">
        <v>177</v>
      </c>
      <c r="T550" t="s">
        <v>390</v>
      </c>
      <c r="U550">
        <v>280</v>
      </c>
      <c r="V550">
        <v>110</v>
      </c>
      <c r="W550">
        <v>2.2000000000000002</v>
      </c>
      <c r="X550" t="s">
        <v>278</v>
      </c>
      <c r="Y550">
        <v>8</v>
      </c>
      <c r="Z550">
        <v>0.12</v>
      </c>
      <c r="AA550">
        <v>0.02</v>
      </c>
      <c r="AB550">
        <v>49560</v>
      </c>
      <c r="AC550">
        <v>48569</v>
      </c>
      <c r="AD550">
        <v>389.40000000000003</v>
      </c>
      <c r="AE550">
        <v>5828.28</v>
      </c>
      <c r="AF550">
        <v>5828</v>
      </c>
      <c r="AG550">
        <v>19470</v>
      </c>
      <c r="AH550">
        <v>17442.72</v>
      </c>
      <c r="AI550" s="5">
        <v>0.35913278016841998</v>
      </c>
    </row>
    <row r="551" spans="14:35" x14ac:dyDescent="0.25">
      <c r="N551" t="s">
        <v>571</v>
      </c>
      <c r="O551" s="1">
        <v>46168.916666666664</v>
      </c>
      <c r="P551" t="s">
        <v>389</v>
      </c>
      <c r="Q551" t="s">
        <v>277</v>
      </c>
      <c r="R551" t="s">
        <v>24</v>
      </c>
      <c r="S551">
        <v>27</v>
      </c>
      <c r="T551" t="s">
        <v>390</v>
      </c>
      <c r="U551">
        <v>280</v>
      </c>
      <c r="V551">
        <v>110</v>
      </c>
      <c r="W551">
        <v>2.2000000000000002</v>
      </c>
      <c r="X551" t="s">
        <v>278</v>
      </c>
      <c r="Y551">
        <v>8</v>
      </c>
      <c r="Z551">
        <v>0.12</v>
      </c>
      <c r="AA551">
        <v>0.02</v>
      </c>
      <c r="AB551">
        <v>7560</v>
      </c>
      <c r="AC551">
        <v>7409</v>
      </c>
      <c r="AD551">
        <v>59.400000000000006</v>
      </c>
      <c r="AE551">
        <v>889.07999999999993</v>
      </c>
      <c r="AF551">
        <v>889</v>
      </c>
      <c r="AG551">
        <v>2970</v>
      </c>
      <c r="AH551">
        <v>2660.92</v>
      </c>
      <c r="AI551" s="5">
        <v>0.35914698339856899</v>
      </c>
    </row>
    <row r="552" spans="14:35" x14ac:dyDescent="0.25">
      <c r="N552" t="s">
        <v>572</v>
      </c>
      <c r="O552" s="1">
        <v>46169.25</v>
      </c>
      <c r="P552" t="s">
        <v>389</v>
      </c>
      <c r="Q552" t="s">
        <v>277</v>
      </c>
      <c r="R552" t="s">
        <v>24</v>
      </c>
      <c r="S552">
        <v>53</v>
      </c>
      <c r="T552" t="s">
        <v>390</v>
      </c>
      <c r="U552">
        <v>280</v>
      </c>
      <c r="V552">
        <v>110</v>
      </c>
      <c r="W552">
        <v>2.2000000000000002</v>
      </c>
      <c r="X552" t="s">
        <v>278</v>
      </c>
      <c r="Y552">
        <v>8</v>
      </c>
      <c r="Z552">
        <v>0.12</v>
      </c>
      <c r="AA552">
        <v>0.02</v>
      </c>
      <c r="AB552">
        <v>14840</v>
      </c>
      <c r="AC552">
        <v>14543</v>
      </c>
      <c r="AD552">
        <v>116.60000000000001</v>
      </c>
      <c r="AE552">
        <v>1745.1599999999999</v>
      </c>
      <c r="AF552">
        <v>1745</v>
      </c>
      <c r="AG552">
        <v>5830</v>
      </c>
      <c r="AH552">
        <v>5222.84</v>
      </c>
      <c r="AI552" s="5">
        <v>0.35913085333150002</v>
      </c>
    </row>
    <row r="553" spans="14:35" x14ac:dyDescent="0.25">
      <c r="N553" t="s">
        <v>573</v>
      </c>
      <c r="O553" s="1">
        <v>46169.75</v>
      </c>
      <c r="P553" t="s">
        <v>389</v>
      </c>
      <c r="Q553" t="s">
        <v>277</v>
      </c>
      <c r="R553" t="s">
        <v>29</v>
      </c>
      <c r="S553">
        <v>133</v>
      </c>
      <c r="T553" t="s">
        <v>390</v>
      </c>
      <c r="U553">
        <v>280</v>
      </c>
      <c r="V553">
        <v>110</v>
      </c>
      <c r="W553">
        <v>2.2000000000000002</v>
      </c>
      <c r="X553" t="s">
        <v>278</v>
      </c>
      <c r="Y553">
        <v>8</v>
      </c>
      <c r="Z553">
        <v>0.12</v>
      </c>
      <c r="AA553">
        <v>0.1</v>
      </c>
      <c r="AB553">
        <v>37240</v>
      </c>
      <c r="AC553">
        <v>33516</v>
      </c>
      <c r="AD553">
        <v>292.60000000000002</v>
      </c>
      <c r="AE553">
        <v>4021.92</v>
      </c>
      <c r="AF553">
        <v>4022</v>
      </c>
      <c r="AG553">
        <v>14630</v>
      </c>
      <c r="AH553">
        <v>10842.080000000002</v>
      </c>
      <c r="AI553" s="5">
        <v>0.32348967657238298</v>
      </c>
    </row>
    <row r="554" spans="14:35" x14ac:dyDescent="0.25">
      <c r="N554" t="s">
        <v>574</v>
      </c>
      <c r="O554" s="1">
        <v>46169.916666666664</v>
      </c>
      <c r="P554" t="s">
        <v>389</v>
      </c>
      <c r="Q554" t="s">
        <v>277</v>
      </c>
      <c r="R554" t="s">
        <v>24</v>
      </c>
      <c r="S554">
        <v>39</v>
      </c>
      <c r="T554" t="s">
        <v>390</v>
      </c>
      <c r="U554">
        <v>280</v>
      </c>
      <c r="V554">
        <v>110</v>
      </c>
      <c r="W554">
        <v>2.2000000000000002</v>
      </c>
      <c r="X554" t="s">
        <v>278</v>
      </c>
      <c r="Y554">
        <v>8</v>
      </c>
      <c r="Z554">
        <v>0.12</v>
      </c>
      <c r="AA554">
        <v>0.02</v>
      </c>
      <c r="AB554">
        <v>10920</v>
      </c>
      <c r="AC554">
        <v>10702</v>
      </c>
      <c r="AD554">
        <v>85.800000000000011</v>
      </c>
      <c r="AE554">
        <v>1284.24</v>
      </c>
      <c r="AF554">
        <v>1284</v>
      </c>
      <c r="AG554">
        <v>4290</v>
      </c>
      <c r="AH554">
        <v>3843.76</v>
      </c>
      <c r="AI554" s="5">
        <v>0.35916277331339902</v>
      </c>
    </row>
    <row r="555" spans="14:35" x14ac:dyDescent="0.25">
      <c r="N555" t="s">
        <v>575</v>
      </c>
      <c r="O555" s="1">
        <v>46169.958333333336</v>
      </c>
      <c r="P555" t="s">
        <v>389</v>
      </c>
      <c r="Q555" t="s">
        <v>277</v>
      </c>
      <c r="R555" t="s">
        <v>29</v>
      </c>
      <c r="S555">
        <v>117</v>
      </c>
      <c r="T555" t="s">
        <v>390</v>
      </c>
      <c r="U555">
        <v>280</v>
      </c>
      <c r="V555">
        <v>110</v>
      </c>
      <c r="W555">
        <v>2.2000000000000002</v>
      </c>
      <c r="X555" t="s">
        <v>278</v>
      </c>
      <c r="Y555">
        <v>8</v>
      </c>
      <c r="Z555">
        <v>0.12</v>
      </c>
      <c r="AA555">
        <v>0.1</v>
      </c>
      <c r="AB555">
        <v>32760</v>
      </c>
      <c r="AC555">
        <v>29484</v>
      </c>
      <c r="AD555">
        <v>257.40000000000003</v>
      </c>
      <c r="AE555">
        <v>3538.08</v>
      </c>
      <c r="AF555">
        <v>3538</v>
      </c>
      <c r="AG555">
        <v>12870</v>
      </c>
      <c r="AH555">
        <v>9537.9199999999983</v>
      </c>
      <c r="AI555" s="5">
        <v>0.32349477682811001</v>
      </c>
    </row>
    <row r="556" spans="14:35" x14ac:dyDescent="0.25">
      <c r="N556" t="s">
        <v>576</v>
      </c>
      <c r="O556" s="1">
        <v>46170.458333333336</v>
      </c>
      <c r="P556" t="s">
        <v>389</v>
      </c>
      <c r="Q556" t="s">
        <v>277</v>
      </c>
      <c r="R556" t="s">
        <v>29</v>
      </c>
      <c r="S556">
        <v>154</v>
      </c>
      <c r="T556" t="s">
        <v>390</v>
      </c>
      <c r="U556">
        <v>280</v>
      </c>
      <c r="V556">
        <v>110</v>
      </c>
      <c r="W556">
        <v>2.2000000000000002</v>
      </c>
      <c r="X556" t="s">
        <v>278</v>
      </c>
      <c r="Y556">
        <v>8</v>
      </c>
      <c r="Z556">
        <v>0.12</v>
      </c>
      <c r="AA556">
        <v>0.1</v>
      </c>
      <c r="AB556">
        <v>43120</v>
      </c>
      <c r="AC556">
        <v>38808</v>
      </c>
      <c r="AD556">
        <v>338.8</v>
      </c>
      <c r="AE556">
        <v>4656.96</v>
      </c>
      <c r="AF556">
        <v>4657</v>
      </c>
      <c r="AG556">
        <v>16940</v>
      </c>
      <c r="AH556">
        <v>12554.04</v>
      </c>
      <c r="AI556" s="5">
        <v>0.32349103277674701</v>
      </c>
    </row>
    <row r="557" spans="14:35" x14ac:dyDescent="0.25">
      <c r="N557" t="s">
        <v>577</v>
      </c>
      <c r="O557" s="1">
        <v>46171.333333333336</v>
      </c>
      <c r="P557" t="s">
        <v>389</v>
      </c>
      <c r="Q557" t="s">
        <v>277</v>
      </c>
      <c r="R557" t="s">
        <v>32</v>
      </c>
      <c r="S557">
        <v>114</v>
      </c>
      <c r="T557" t="s">
        <v>390</v>
      </c>
      <c r="U557">
        <v>280</v>
      </c>
      <c r="V557">
        <v>110</v>
      </c>
      <c r="W557">
        <v>2.2000000000000002</v>
      </c>
      <c r="X557" t="s">
        <v>278</v>
      </c>
      <c r="Y557">
        <v>8</v>
      </c>
      <c r="Z557">
        <v>0.12</v>
      </c>
      <c r="AA557">
        <v>0.05</v>
      </c>
      <c r="AB557">
        <v>31920</v>
      </c>
      <c r="AC557">
        <v>30324</v>
      </c>
      <c r="AD557">
        <v>250.8</v>
      </c>
      <c r="AE557">
        <v>3638.8799999999997</v>
      </c>
      <c r="AF557">
        <v>3639</v>
      </c>
      <c r="AG557">
        <v>12540</v>
      </c>
      <c r="AH557">
        <v>10506.120000000003</v>
      </c>
      <c r="AI557" s="5">
        <v>0.34646220815195899</v>
      </c>
    </row>
    <row r="558" spans="14:35" x14ac:dyDescent="0.25">
      <c r="N558" t="s">
        <v>578</v>
      </c>
      <c r="O558" s="1">
        <v>46172.791666666664</v>
      </c>
      <c r="P558" t="s">
        <v>389</v>
      </c>
      <c r="Q558" t="s">
        <v>277</v>
      </c>
      <c r="R558" t="s">
        <v>29</v>
      </c>
      <c r="S558">
        <v>175</v>
      </c>
      <c r="T558" t="s">
        <v>390</v>
      </c>
      <c r="U558">
        <v>280</v>
      </c>
      <c r="V558">
        <v>110</v>
      </c>
      <c r="W558">
        <v>2.2000000000000002</v>
      </c>
      <c r="X558" t="s">
        <v>278</v>
      </c>
      <c r="Y558">
        <v>8</v>
      </c>
      <c r="Z558">
        <v>0.12</v>
      </c>
      <c r="AA558">
        <v>0.1</v>
      </c>
      <c r="AB558">
        <v>49000</v>
      </c>
      <c r="AC558">
        <v>44100</v>
      </c>
      <c r="AD558">
        <v>385.00000000000006</v>
      </c>
      <c r="AE558">
        <v>5292</v>
      </c>
      <c r="AF558">
        <v>5292</v>
      </c>
      <c r="AG558">
        <v>19250</v>
      </c>
      <c r="AH558">
        <v>14266</v>
      </c>
      <c r="AI558" s="5">
        <v>0.323492063492064</v>
      </c>
    </row>
    <row r="559" spans="14:35" x14ac:dyDescent="0.25">
      <c r="N559" t="s">
        <v>579</v>
      </c>
      <c r="O559" s="1">
        <v>46173</v>
      </c>
      <c r="P559" t="s">
        <v>389</v>
      </c>
      <c r="Q559" t="s">
        <v>277</v>
      </c>
      <c r="R559" t="s">
        <v>32</v>
      </c>
      <c r="S559">
        <v>142</v>
      </c>
      <c r="T559" t="s">
        <v>390</v>
      </c>
      <c r="U559">
        <v>280</v>
      </c>
      <c r="V559">
        <v>110</v>
      </c>
      <c r="W559">
        <v>2.2000000000000002</v>
      </c>
      <c r="X559" t="s">
        <v>278</v>
      </c>
      <c r="Y559">
        <v>8</v>
      </c>
      <c r="Z559">
        <v>0.12</v>
      </c>
      <c r="AA559">
        <v>0.05</v>
      </c>
      <c r="AB559">
        <v>39760</v>
      </c>
      <c r="AC559">
        <v>37772</v>
      </c>
      <c r="AD559">
        <v>312.40000000000003</v>
      </c>
      <c r="AE559">
        <v>4532.6399999999994</v>
      </c>
      <c r="AF559">
        <v>4533</v>
      </c>
      <c r="AG559">
        <v>15620</v>
      </c>
      <c r="AH559">
        <v>13086.36</v>
      </c>
      <c r="AI559" s="5">
        <v>0.34645663454410702</v>
      </c>
    </row>
    <row r="560" spans="14:35" x14ac:dyDescent="0.25">
      <c r="N560" t="s">
        <v>580</v>
      </c>
      <c r="O560" s="1">
        <v>46173.166666666664</v>
      </c>
      <c r="P560" t="s">
        <v>389</v>
      </c>
      <c r="Q560" t="s">
        <v>277</v>
      </c>
      <c r="R560" t="s">
        <v>32</v>
      </c>
      <c r="S560">
        <v>112</v>
      </c>
      <c r="T560" t="s">
        <v>390</v>
      </c>
      <c r="U560">
        <v>280</v>
      </c>
      <c r="V560">
        <v>110</v>
      </c>
      <c r="W560">
        <v>2.2000000000000002</v>
      </c>
      <c r="X560" t="s">
        <v>278</v>
      </c>
      <c r="Y560">
        <v>8</v>
      </c>
      <c r="Z560">
        <v>0.12</v>
      </c>
      <c r="AA560">
        <v>0.05</v>
      </c>
      <c r="AB560">
        <v>31360</v>
      </c>
      <c r="AC560">
        <v>29792</v>
      </c>
      <c r="AD560">
        <v>246.40000000000003</v>
      </c>
      <c r="AE560">
        <v>3575.04</v>
      </c>
      <c r="AF560">
        <v>3575</v>
      </c>
      <c r="AG560">
        <v>12320</v>
      </c>
      <c r="AH560">
        <v>10321.959999999999</v>
      </c>
      <c r="AI560" s="5">
        <v>0.34646750805585402</v>
      </c>
    </row>
    <row r="561" spans="14:35" x14ac:dyDescent="0.25">
      <c r="N561" t="s">
        <v>581</v>
      </c>
      <c r="O561" s="1">
        <v>46173.208333333336</v>
      </c>
      <c r="P561" t="s">
        <v>389</v>
      </c>
      <c r="Q561" t="s">
        <v>277</v>
      </c>
      <c r="R561" t="s">
        <v>24</v>
      </c>
      <c r="S561">
        <v>63</v>
      </c>
      <c r="T561" t="s">
        <v>390</v>
      </c>
      <c r="U561">
        <v>280</v>
      </c>
      <c r="V561">
        <v>110</v>
      </c>
      <c r="W561">
        <v>2.2000000000000002</v>
      </c>
      <c r="X561" t="s">
        <v>278</v>
      </c>
      <c r="Y561">
        <v>8</v>
      </c>
      <c r="Z561">
        <v>0.12</v>
      </c>
      <c r="AA561">
        <v>0.02</v>
      </c>
      <c r="AB561">
        <v>17640</v>
      </c>
      <c r="AC561">
        <v>17287</v>
      </c>
      <c r="AD561">
        <v>138.60000000000002</v>
      </c>
      <c r="AE561">
        <v>2074.44</v>
      </c>
      <c r="AF561">
        <v>2074</v>
      </c>
      <c r="AG561">
        <v>6930</v>
      </c>
      <c r="AH561">
        <v>6208.5599999999995</v>
      </c>
      <c r="AI561" s="5">
        <v>0.35914617920981101</v>
      </c>
    </row>
    <row r="562" spans="14:35" x14ac:dyDescent="0.25">
      <c r="N562" t="s">
        <v>582</v>
      </c>
      <c r="O562" s="1">
        <v>46174.791666666664</v>
      </c>
      <c r="P562" t="s">
        <v>389</v>
      </c>
      <c r="Q562" t="s">
        <v>277</v>
      </c>
      <c r="R562" t="s">
        <v>32</v>
      </c>
      <c r="S562">
        <v>178</v>
      </c>
      <c r="T562" t="s">
        <v>390</v>
      </c>
      <c r="U562">
        <v>280</v>
      </c>
      <c r="V562">
        <v>110</v>
      </c>
      <c r="W562">
        <v>2.2000000000000002</v>
      </c>
      <c r="X562" t="s">
        <v>278</v>
      </c>
      <c r="Y562">
        <v>8</v>
      </c>
      <c r="Z562">
        <v>0.12</v>
      </c>
      <c r="AA562">
        <v>0.05</v>
      </c>
      <c r="AB562">
        <v>49840</v>
      </c>
      <c r="AC562">
        <v>47348</v>
      </c>
      <c r="AD562">
        <v>391.6</v>
      </c>
      <c r="AE562">
        <v>5681.76</v>
      </c>
      <c r="AF562">
        <v>5682</v>
      </c>
      <c r="AG562">
        <v>19580</v>
      </c>
      <c r="AH562">
        <v>16404.239999999998</v>
      </c>
      <c r="AI562" s="5">
        <v>0.34646109656162899</v>
      </c>
    </row>
    <row r="563" spans="14:35" x14ac:dyDescent="0.25">
      <c r="N563" t="s">
        <v>583</v>
      </c>
      <c r="O563" s="1">
        <v>46175.125</v>
      </c>
      <c r="P563" t="s">
        <v>389</v>
      </c>
      <c r="Q563" t="s">
        <v>277</v>
      </c>
      <c r="R563" t="s">
        <v>32</v>
      </c>
      <c r="S563">
        <v>59</v>
      </c>
      <c r="T563" t="s">
        <v>390</v>
      </c>
      <c r="U563">
        <v>280</v>
      </c>
      <c r="V563">
        <v>110</v>
      </c>
      <c r="W563">
        <v>2.2000000000000002</v>
      </c>
      <c r="X563" t="s">
        <v>278</v>
      </c>
      <c r="Y563">
        <v>8</v>
      </c>
      <c r="Z563">
        <v>0.12</v>
      </c>
      <c r="AA563">
        <v>0.05</v>
      </c>
      <c r="AB563">
        <v>16520</v>
      </c>
      <c r="AC563">
        <v>15694</v>
      </c>
      <c r="AD563">
        <v>129.80000000000001</v>
      </c>
      <c r="AE563">
        <v>1883.28</v>
      </c>
      <c r="AF563">
        <v>1883</v>
      </c>
      <c r="AG563">
        <v>6490</v>
      </c>
      <c r="AH563">
        <v>5437.7199999999993</v>
      </c>
      <c r="AI563" s="5">
        <v>0.34648400662673601</v>
      </c>
    </row>
    <row r="564" spans="14:35" x14ac:dyDescent="0.25">
      <c r="N564" t="s">
        <v>584</v>
      </c>
      <c r="O564" s="1">
        <v>46175.166666666664</v>
      </c>
      <c r="P564" t="s">
        <v>389</v>
      </c>
      <c r="Q564" t="s">
        <v>277</v>
      </c>
      <c r="R564" t="s">
        <v>24</v>
      </c>
      <c r="S564">
        <v>173</v>
      </c>
      <c r="T564" t="s">
        <v>390</v>
      </c>
      <c r="U564">
        <v>280</v>
      </c>
      <c r="V564">
        <v>110</v>
      </c>
      <c r="W564">
        <v>2.2000000000000002</v>
      </c>
      <c r="X564" t="s">
        <v>278</v>
      </c>
      <c r="Y564">
        <v>8</v>
      </c>
      <c r="Z564">
        <v>0.12</v>
      </c>
      <c r="AA564">
        <v>0.02</v>
      </c>
      <c r="AB564">
        <v>48440</v>
      </c>
      <c r="AC564">
        <v>47471</v>
      </c>
      <c r="AD564">
        <v>380.6</v>
      </c>
      <c r="AE564">
        <v>5696.5199999999995</v>
      </c>
      <c r="AF564">
        <v>5697</v>
      </c>
      <c r="AG564">
        <v>19030</v>
      </c>
      <c r="AH564">
        <v>17047.48</v>
      </c>
      <c r="AI564" s="5">
        <v>0.359113564070696</v>
      </c>
    </row>
    <row r="565" spans="14:35" x14ac:dyDescent="0.25">
      <c r="N565" t="s">
        <v>585</v>
      </c>
      <c r="O565" s="1">
        <v>46175.916666666664</v>
      </c>
      <c r="P565" t="s">
        <v>389</v>
      </c>
      <c r="Q565" t="s">
        <v>277</v>
      </c>
      <c r="R565" t="s">
        <v>24</v>
      </c>
      <c r="S565">
        <v>11</v>
      </c>
      <c r="T565" t="s">
        <v>390</v>
      </c>
      <c r="U565">
        <v>280</v>
      </c>
      <c r="V565">
        <v>110</v>
      </c>
      <c r="W565">
        <v>2.2000000000000002</v>
      </c>
      <c r="X565" t="s">
        <v>278</v>
      </c>
      <c r="Y565">
        <v>8</v>
      </c>
      <c r="Z565">
        <v>0.12</v>
      </c>
      <c r="AA565">
        <v>0.02</v>
      </c>
      <c r="AB565">
        <v>3080</v>
      </c>
      <c r="AC565">
        <v>3018</v>
      </c>
      <c r="AD565">
        <v>24.200000000000003</v>
      </c>
      <c r="AE565">
        <v>362.15999999999997</v>
      </c>
      <c r="AF565">
        <v>362</v>
      </c>
      <c r="AG565">
        <v>1210</v>
      </c>
      <c r="AH565">
        <v>1083.8400000000001</v>
      </c>
      <c r="AI565" s="5">
        <v>0.359125248508946</v>
      </c>
    </row>
    <row r="566" spans="14:35" x14ac:dyDescent="0.25">
      <c r="N566" t="s">
        <v>586</v>
      </c>
      <c r="O566" s="1">
        <v>46176.458333333336</v>
      </c>
      <c r="P566" t="s">
        <v>389</v>
      </c>
      <c r="Q566" t="s">
        <v>277</v>
      </c>
      <c r="R566" t="s">
        <v>32</v>
      </c>
      <c r="S566">
        <v>11</v>
      </c>
      <c r="T566" t="s">
        <v>390</v>
      </c>
      <c r="U566">
        <v>280</v>
      </c>
      <c r="V566">
        <v>110</v>
      </c>
      <c r="W566">
        <v>2.2000000000000002</v>
      </c>
      <c r="X566" t="s">
        <v>278</v>
      </c>
      <c r="Y566">
        <v>8</v>
      </c>
      <c r="Z566">
        <v>0.12</v>
      </c>
      <c r="AA566">
        <v>0.05</v>
      </c>
      <c r="AB566">
        <v>3080</v>
      </c>
      <c r="AC566">
        <v>2926</v>
      </c>
      <c r="AD566">
        <v>24.200000000000003</v>
      </c>
      <c r="AE566">
        <v>351.12</v>
      </c>
      <c r="AF566">
        <v>351</v>
      </c>
      <c r="AG566">
        <v>1210</v>
      </c>
      <c r="AH566">
        <v>1013.8800000000001</v>
      </c>
      <c r="AI566" s="5">
        <v>0.34650717703349299</v>
      </c>
    </row>
    <row r="567" spans="14:35" x14ac:dyDescent="0.25">
      <c r="N567" t="s">
        <v>587</v>
      </c>
      <c r="O567" s="1">
        <v>46176.916666666664</v>
      </c>
      <c r="P567" t="s">
        <v>389</v>
      </c>
      <c r="Q567" t="s">
        <v>277</v>
      </c>
      <c r="R567" t="s">
        <v>24</v>
      </c>
      <c r="S567">
        <v>47</v>
      </c>
      <c r="T567" t="s">
        <v>390</v>
      </c>
      <c r="U567">
        <v>280</v>
      </c>
      <c r="V567">
        <v>110</v>
      </c>
      <c r="W567">
        <v>2.2000000000000002</v>
      </c>
      <c r="X567" t="s">
        <v>278</v>
      </c>
      <c r="Y567">
        <v>8</v>
      </c>
      <c r="Z567">
        <v>0.12</v>
      </c>
      <c r="AA567">
        <v>0.02</v>
      </c>
      <c r="AB567">
        <v>13160</v>
      </c>
      <c r="AC567">
        <v>12897</v>
      </c>
      <c r="AD567">
        <v>103.4</v>
      </c>
      <c r="AE567">
        <v>1547.6399999999999</v>
      </c>
      <c r="AF567">
        <v>1548</v>
      </c>
      <c r="AG567">
        <v>5170</v>
      </c>
      <c r="AH567">
        <v>4631.3600000000006</v>
      </c>
      <c r="AI567" s="5">
        <v>0.35910366751957801</v>
      </c>
    </row>
    <row r="568" spans="14:35" x14ac:dyDescent="0.25">
      <c r="N568" t="s">
        <v>588</v>
      </c>
      <c r="O568" s="1">
        <v>46177.041666666664</v>
      </c>
      <c r="P568" t="s">
        <v>389</v>
      </c>
      <c r="Q568" t="s">
        <v>277</v>
      </c>
      <c r="R568" t="s">
        <v>32</v>
      </c>
      <c r="S568">
        <v>44</v>
      </c>
      <c r="T568" t="s">
        <v>390</v>
      </c>
      <c r="U568">
        <v>280</v>
      </c>
      <c r="V568">
        <v>110</v>
      </c>
      <c r="W568">
        <v>2.2000000000000002</v>
      </c>
      <c r="X568" t="s">
        <v>278</v>
      </c>
      <c r="Y568">
        <v>8</v>
      </c>
      <c r="Z568">
        <v>0.12</v>
      </c>
      <c r="AA568">
        <v>0.05</v>
      </c>
      <c r="AB568">
        <v>12320</v>
      </c>
      <c r="AC568">
        <v>11704</v>
      </c>
      <c r="AD568">
        <v>96.800000000000011</v>
      </c>
      <c r="AE568">
        <v>1404.48</v>
      </c>
      <c r="AF568">
        <v>1404</v>
      </c>
      <c r="AG568">
        <v>4840</v>
      </c>
      <c r="AH568">
        <v>4055.5200000000004</v>
      </c>
      <c r="AI568" s="5">
        <v>0.34650717703349299</v>
      </c>
    </row>
    <row r="569" spans="14:35" x14ac:dyDescent="0.25">
      <c r="N569" t="s">
        <v>589</v>
      </c>
      <c r="O569" s="1">
        <v>46177.5</v>
      </c>
      <c r="P569" t="s">
        <v>389</v>
      </c>
      <c r="Q569" t="s">
        <v>277</v>
      </c>
      <c r="R569" t="s">
        <v>29</v>
      </c>
      <c r="S569">
        <v>124</v>
      </c>
      <c r="T569" t="s">
        <v>390</v>
      </c>
      <c r="U569">
        <v>280</v>
      </c>
      <c r="V569">
        <v>110</v>
      </c>
      <c r="W569">
        <v>2.2000000000000002</v>
      </c>
      <c r="X569" t="s">
        <v>278</v>
      </c>
      <c r="Y569">
        <v>8</v>
      </c>
      <c r="Z569">
        <v>0.12</v>
      </c>
      <c r="AA569">
        <v>0.1</v>
      </c>
      <c r="AB569">
        <v>34720</v>
      </c>
      <c r="AC569">
        <v>31248</v>
      </c>
      <c r="AD569">
        <v>272.8</v>
      </c>
      <c r="AE569">
        <v>3749.7599999999998</v>
      </c>
      <c r="AF569">
        <v>3750</v>
      </c>
      <c r="AG569">
        <v>13640</v>
      </c>
      <c r="AH569">
        <v>10108.240000000002</v>
      </c>
      <c r="AI569" s="5">
        <v>0.32348438300051202</v>
      </c>
    </row>
    <row r="570" spans="14:35" x14ac:dyDescent="0.25">
      <c r="N570" t="s">
        <v>590</v>
      </c>
      <c r="O570" s="1">
        <v>46178.083333333336</v>
      </c>
      <c r="P570" t="s">
        <v>389</v>
      </c>
      <c r="Q570" t="s">
        <v>277</v>
      </c>
      <c r="R570" t="s">
        <v>32</v>
      </c>
      <c r="S570">
        <v>136</v>
      </c>
      <c r="T570" t="s">
        <v>390</v>
      </c>
      <c r="U570">
        <v>280</v>
      </c>
      <c r="V570">
        <v>110</v>
      </c>
      <c r="W570">
        <v>2.2000000000000002</v>
      </c>
      <c r="X570" t="s">
        <v>278</v>
      </c>
      <c r="Y570">
        <v>8</v>
      </c>
      <c r="Z570">
        <v>0.12</v>
      </c>
      <c r="AA570">
        <v>0.05</v>
      </c>
      <c r="AB570">
        <v>38080</v>
      </c>
      <c r="AC570">
        <v>36176</v>
      </c>
      <c r="AD570">
        <v>299.20000000000005</v>
      </c>
      <c r="AE570">
        <v>4341.12</v>
      </c>
      <c r="AF570">
        <v>4341</v>
      </c>
      <c r="AG570">
        <v>14960</v>
      </c>
      <c r="AH570">
        <v>12533.880000000001</v>
      </c>
      <c r="AI570" s="5">
        <v>0.34646948252985399</v>
      </c>
    </row>
    <row r="571" spans="14:35" x14ac:dyDescent="0.25">
      <c r="N571" t="s">
        <v>591</v>
      </c>
      <c r="O571" s="1">
        <v>46178.5</v>
      </c>
      <c r="P571" t="s">
        <v>389</v>
      </c>
      <c r="Q571" t="s">
        <v>277</v>
      </c>
      <c r="R571" t="s">
        <v>29</v>
      </c>
      <c r="S571">
        <v>67</v>
      </c>
      <c r="T571" t="s">
        <v>390</v>
      </c>
      <c r="U571">
        <v>280</v>
      </c>
      <c r="V571">
        <v>110</v>
      </c>
      <c r="W571">
        <v>2.2000000000000002</v>
      </c>
      <c r="X571" t="s">
        <v>278</v>
      </c>
      <c r="Y571">
        <v>8</v>
      </c>
      <c r="Z571">
        <v>0.12</v>
      </c>
      <c r="AA571">
        <v>0.1</v>
      </c>
      <c r="AB571">
        <v>18760</v>
      </c>
      <c r="AC571">
        <v>16884</v>
      </c>
      <c r="AD571">
        <v>147.4</v>
      </c>
      <c r="AE571">
        <v>2026.08</v>
      </c>
      <c r="AF571">
        <v>2026</v>
      </c>
      <c r="AG571">
        <v>7370</v>
      </c>
      <c r="AH571">
        <v>5461.92</v>
      </c>
      <c r="AI571" s="5">
        <v>0.32349680170575701</v>
      </c>
    </row>
    <row r="572" spans="14:35" x14ac:dyDescent="0.25">
      <c r="N572" t="s">
        <v>592</v>
      </c>
      <c r="O572" s="1">
        <v>46178.583333333336</v>
      </c>
      <c r="P572" t="s">
        <v>389</v>
      </c>
      <c r="Q572" t="s">
        <v>277</v>
      </c>
      <c r="R572" t="s">
        <v>32</v>
      </c>
      <c r="S572">
        <v>129</v>
      </c>
      <c r="T572" t="s">
        <v>390</v>
      </c>
      <c r="U572">
        <v>280</v>
      </c>
      <c r="V572">
        <v>110</v>
      </c>
      <c r="W572">
        <v>2.2000000000000002</v>
      </c>
      <c r="X572" t="s">
        <v>278</v>
      </c>
      <c r="Y572">
        <v>8</v>
      </c>
      <c r="Z572">
        <v>0.12</v>
      </c>
      <c r="AA572">
        <v>0.05</v>
      </c>
      <c r="AB572">
        <v>36120</v>
      </c>
      <c r="AC572">
        <v>34314</v>
      </c>
      <c r="AD572">
        <v>283.8</v>
      </c>
      <c r="AE572">
        <v>4117.68</v>
      </c>
      <c r="AF572">
        <v>4118</v>
      </c>
      <c r="AG572">
        <v>14190</v>
      </c>
      <c r="AH572">
        <v>11888.32</v>
      </c>
      <c r="AI572" s="5">
        <v>0.346456839773853</v>
      </c>
    </row>
    <row r="573" spans="14:35" x14ac:dyDescent="0.25">
      <c r="N573" t="s">
        <v>593</v>
      </c>
      <c r="O573" s="1">
        <v>46178.916666666664</v>
      </c>
      <c r="P573" t="s">
        <v>389</v>
      </c>
      <c r="Q573" t="s">
        <v>277</v>
      </c>
      <c r="R573" t="s">
        <v>24</v>
      </c>
      <c r="S573">
        <v>18</v>
      </c>
      <c r="T573" t="s">
        <v>390</v>
      </c>
      <c r="U573">
        <v>280</v>
      </c>
      <c r="V573">
        <v>110</v>
      </c>
      <c r="W573">
        <v>2.2000000000000002</v>
      </c>
      <c r="X573" t="s">
        <v>278</v>
      </c>
      <c r="Y573">
        <v>8</v>
      </c>
      <c r="Z573">
        <v>0.12</v>
      </c>
      <c r="AA573">
        <v>0.02</v>
      </c>
      <c r="AB573">
        <v>5040</v>
      </c>
      <c r="AC573">
        <v>4939</v>
      </c>
      <c r="AD573">
        <v>39.6</v>
      </c>
      <c r="AE573">
        <v>592.67999999999995</v>
      </c>
      <c r="AF573">
        <v>593</v>
      </c>
      <c r="AG573">
        <v>1980</v>
      </c>
      <c r="AH573">
        <v>1773.3200000000002</v>
      </c>
      <c r="AI573" s="5">
        <v>0.359044340959708</v>
      </c>
    </row>
    <row r="574" spans="14:35" x14ac:dyDescent="0.25">
      <c r="N574" t="s">
        <v>594</v>
      </c>
      <c r="O574" s="1">
        <v>46179.291666666664</v>
      </c>
      <c r="P574" t="s">
        <v>389</v>
      </c>
      <c r="Q574" t="s">
        <v>277</v>
      </c>
      <c r="R574" t="s">
        <v>32</v>
      </c>
      <c r="S574">
        <v>30</v>
      </c>
      <c r="T574" t="s">
        <v>390</v>
      </c>
      <c r="U574">
        <v>280</v>
      </c>
      <c r="V574">
        <v>110</v>
      </c>
      <c r="W574">
        <v>2.2000000000000002</v>
      </c>
      <c r="X574" t="s">
        <v>278</v>
      </c>
      <c r="Y574">
        <v>8</v>
      </c>
      <c r="Z574">
        <v>0.12</v>
      </c>
      <c r="AA574">
        <v>0.05</v>
      </c>
      <c r="AB574">
        <v>8400</v>
      </c>
      <c r="AC574">
        <v>7980</v>
      </c>
      <c r="AD574">
        <v>66</v>
      </c>
      <c r="AE574">
        <v>957.59999999999991</v>
      </c>
      <c r="AF574">
        <v>958</v>
      </c>
      <c r="AG574">
        <v>3300</v>
      </c>
      <c r="AH574">
        <v>2764.3999999999996</v>
      </c>
      <c r="AI574" s="5">
        <v>0.34641604010025101</v>
      </c>
    </row>
    <row r="575" spans="14:35" x14ac:dyDescent="0.25">
      <c r="N575" t="s">
        <v>595</v>
      </c>
      <c r="O575" s="1">
        <v>46179.333333333336</v>
      </c>
      <c r="P575" t="s">
        <v>389</v>
      </c>
      <c r="Q575" t="s">
        <v>277</v>
      </c>
      <c r="R575" t="s">
        <v>24</v>
      </c>
      <c r="S575">
        <v>145</v>
      </c>
      <c r="T575" t="s">
        <v>390</v>
      </c>
      <c r="U575">
        <v>280</v>
      </c>
      <c r="V575">
        <v>110</v>
      </c>
      <c r="W575">
        <v>2.2000000000000002</v>
      </c>
      <c r="X575" t="s">
        <v>278</v>
      </c>
      <c r="Y575">
        <v>8</v>
      </c>
      <c r="Z575">
        <v>0.12</v>
      </c>
      <c r="AA575">
        <v>0.02</v>
      </c>
      <c r="AB575">
        <v>40600</v>
      </c>
      <c r="AC575">
        <v>39788</v>
      </c>
      <c r="AD575">
        <v>319</v>
      </c>
      <c r="AE575">
        <v>4774.5599999999995</v>
      </c>
      <c r="AF575">
        <v>4775</v>
      </c>
      <c r="AG575">
        <v>15950</v>
      </c>
      <c r="AH575">
        <v>14288.440000000002</v>
      </c>
      <c r="AI575" s="5">
        <v>0.35911430582085102</v>
      </c>
    </row>
    <row r="576" spans="14:35" x14ac:dyDescent="0.25">
      <c r="N576" t="s">
        <v>596</v>
      </c>
      <c r="O576" s="1">
        <v>46180.166666666664</v>
      </c>
      <c r="P576" t="s">
        <v>389</v>
      </c>
      <c r="Q576" t="s">
        <v>277</v>
      </c>
      <c r="R576" t="s">
        <v>24</v>
      </c>
      <c r="S576">
        <v>55</v>
      </c>
      <c r="T576" t="s">
        <v>390</v>
      </c>
      <c r="U576">
        <v>280</v>
      </c>
      <c r="V576">
        <v>110</v>
      </c>
      <c r="W576">
        <v>2.2000000000000002</v>
      </c>
      <c r="X576" t="s">
        <v>278</v>
      </c>
      <c r="Y576">
        <v>8</v>
      </c>
      <c r="Z576">
        <v>0.12</v>
      </c>
      <c r="AA576">
        <v>0.02</v>
      </c>
      <c r="AB576">
        <v>15400</v>
      </c>
      <c r="AC576">
        <v>15092</v>
      </c>
      <c r="AD576">
        <v>121.00000000000001</v>
      </c>
      <c r="AE576">
        <v>1811.04</v>
      </c>
      <c r="AF576">
        <v>1811</v>
      </c>
      <c r="AG576">
        <v>6050</v>
      </c>
      <c r="AH576">
        <v>5419.9599999999991</v>
      </c>
      <c r="AI576" s="5">
        <v>0.3591280148423</v>
      </c>
    </row>
    <row r="577" spans="14:35" x14ac:dyDescent="0.25">
      <c r="N577" t="s">
        <v>597</v>
      </c>
      <c r="O577" s="1">
        <v>46180.208333333336</v>
      </c>
      <c r="P577" t="s">
        <v>389</v>
      </c>
      <c r="Q577" t="s">
        <v>277</v>
      </c>
      <c r="R577" t="s">
        <v>29</v>
      </c>
      <c r="S577">
        <v>51</v>
      </c>
      <c r="T577" t="s">
        <v>390</v>
      </c>
      <c r="U577">
        <v>280</v>
      </c>
      <c r="V577">
        <v>110</v>
      </c>
      <c r="W577">
        <v>2.2000000000000002</v>
      </c>
      <c r="X577" t="s">
        <v>278</v>
      </c>
      <c r="Y577">
        <v>8</v>
      </c>
      <c r="Z577">
        <v>0.12</v>
      </c>
      <c r="AA577">
        <v>0.1</v>
      </c>
      <c r="AB577">
        <v>14280</v>
      </c>
      <c r="AC577">
        <v>12852</v>
      </c>
      <c r="AD577">
        <v>112.2</v>
      </c>
      <c r="AE577">
        <v>1542.24</v>
      </c>
      <c r="AF577">
        <v>1542</v>
      </c>
      <c r="AG577">
        <v>5610</v>
      </c>
      <c r="AH577">
        <v>4157.76</v>
      </c>
      <c r="AI577" s="5">
        <v>0.323510737628385</v>
      </c>
    </row>
    <row r="578" spans="14:35" x14ac:dyDescent="0.25">
      <c r="N578" t="s">
        <v>598</v>
      </c>
      <c r="O578" s="1">
        <v>46180.5</v>
      </c>
      <c r="P578" t="s">
        <v>389</v>
      </c>
      <c r="Q578" t="s">
        <v>277</v>
      </c>
      <c r="R578" t="s">
        <v>32</v>
      </c>
      <c r="S578">
        <v>140</v>
      </c>
      <c r="T578" t="s">
        <v>390</v>
      </c>
      <c r="U578">
        <v>280</v>
      </c>
      <c r="V578">
        <v>110</v>
      </c>
      <c r="W578">
        <v>2.2000000000000002</v>
      </c>
      <c r="X578" t="s">
        <v>278</v>
      </c>
      <c r="Y578">
        <v>8</v>
      </c>
      <c r="Z578">
        <v>0.12</v>
      </c>
      <c r="AA578">
        <v>0.05</v>
      </c>
      <c r="AB578">
        <v>39200</v>
      </c>
      <c r="AC578">
        <v>37240</v>
      </c>
      <c r="AD578">
        <v>308</v>
      </c>
      <c r="AE578">
        <v>4468.8</v>
      </c>
      <c r="AF578">
        <v>4469</v>
      </c>
      <c r="AG578">
        <v>15400</v>
      </c>
      <c r="AH578">
        <v>12902.2</v>
      </c>
      <c r="AI578" s="5">
        <v>0.34646079484425402</v>
      </c>
    </row>
    <row r="579" spans="14:35" x14ac:dyDescent="0.25">
      <c r="N579" t="s">
        <v>599</v>
      </c>
      <c r="O579" s="1">
        <v>46180.708333333336</v>
      </c>
      <c r="P579" t="s">
        <v>389</v>
      </c>
      <c r="Q579" t="s">
        <v>277</v>
      </c>
      <c r="R579" t="s">
        <v>24</v>
      </c>
      <c r="S579">
        <v>110</v>
      </c>
      <c r="T579" t="s">
        <v>390</v>
      </c>
      <c r="U579">
        <v>280</v>
      </c>
      <c r="V579">
        <v>110</v>
      </c>
      <c r="W579">
        <v>2.2000000000000002</v>
      </c>
      <c r="X579" t="s">
        <v>278</v>
      </c>
      <c r="Y579">
        <v>8</v>
      </c>
      <c r="Z579">
        <v>0.12</v>
      </c>
      <c r="AA579">
        <v>0.02</v>
      </c>
      <c r="AB579">
        <v>30800</v>
      </c>
      <c r="AC579">
        <v>30184</v>
      </c>
      <c r="AD579">
        <v>242.00000000000003</v>
      </c>
      <c r="AE579">
        <v>3622.08</v>
      </c>
      <c r="AF579">
        <v>3622</v>
      </c>
      <c r="AG579">
        <v>12100</v>
      </c>
      <c r="AH579">
        <v>10839.919999999998</v>
      </c>
      <c r="AI579" s="5">
        <v>0.3591280148423</v>
      </c>
    </row>
    <row r="580" spans="14:35" x14ac:dyDescent="0.25">
      <c r="N580" t="s">
        <v>600</v>
      </c>
      <c r="O580" s="1">
        <v>46180.916666666664</v>
      </c>
      <c r="P580" t="s">
        <v>389</v>
      </c>
      <c r="Q580" t="s">
        <v>277</v>
      </c>
      <c r="R580" t="s">
        <v>24</v>
      </c>
      <c r="S580">
        <v>174</v>
      </c>
      <c r="T580" t="s">
        <v>390</v>
      </c>
      <c r="U580">
        <v>280</v>
      </c>
      <c r="V580">
        <v>110</v>
      </c>
      <c r="W580">
        <v>2.2000000000000002</v>
      </c>
      <c r="X580" t="s">
        <v>278</v>
      </c>
      <c r="Y580">
        <v>8</v>
      </c>
      <c r="Z580">
        <v>0.12</v>
      </c>
      <c r="AA580">
        <v>0.02</v>
      </c>
      <c r="AB580">
        <v>48720</v>
      </c>
      <c r="AC580">
        <v>47746</v>
      </c>
      <c r="AD580">
        <v>382.8</v>
      </c>
      <c r="AE580">
        <v>5729.5199999999995</v>
      </c>
      <c r="AF580">
        <v>5730</v>
      </c>
      <c r="AG580">
        <v>19140</v>
      </c>
      <c r="AH580">
        <v>17146.48</v>
      </c>
      <c r="AI580" s="5">
        <v>0.35911866962677502</v>
      </c>
    </row>
    <row r="581" spans="14:35" x14ac:dyDescent="0.25">
      <c r="N581" t="s">
        <v>601</v>
      </c>
      <c r="O581" s="1">
        <v>46181.041666666664</v>
      </c>
      <c r="P581" t="s">
        <v>389</v>
      </c>
      <c r="Q581" t="s">
        <v>277</v>
      </c>
      <c r="R581" t="s">
        <v>32</v>
      </c>
      <c r="S581">
        <v>183</v>
      </c>
      <c r="T581" t="s">
        <v>390</v>
      </c>
      <c r="U581">
        <v>280</v>
      </c>
      <c r="V581">
        <v>110</v>
      </c>
      <c r="W581">
        <v>2.2000000000000002</v>
      </c>
      <c r="X581" t="s">
        <v>278</v>
      </c>
      <c r="Y581">
        <v>8</v>
      </c>
      <c r="Z581">
        <v>0.12</v>
      </c>
      <c r="AA581">
        <v>0.05</v>
      </c>
      <c r="AB581">
        <v>51240</v>
      </c>
      <c r="AC581">
        <v>48678</v>
      </c>
      <c r="AD581">
        <v>402.6</v>
      </c>
      <c r="AE581">
        <v>5841.36</v>
      </c>
      <c r="AF581">
        <v>5841</v>
      </c>
      <c r="AG581">
        <v>20130</v>
      </c>
      <c r="AH581">
        <v>16865.64</v>
      </c>
      <c r="AI581" s="5">
        <v>0.34647356095155901</v>
      </c>
    </row>
    <row r="582" spans="14:35" x14ac:dyDescent="0.25">
      <c r="N582" t="s">
        <v>602</v>
      </c>
      <c r="O582" s="1">
        <v>46181.541666666664</v>
      </c>
      <c r="P582" t="s">
        <v>389</v>
      </c>
      <c r="Q582" t="s">
        <v>277</v>
      </c>
      <c r="R582" t="s">
        <v>29</v>
      </c>
      <c r="S582">
        <v>174</v>
      </c>
      <c r="T582" t="s">
        <v>390</v>
      </c>
      <c r="U582">
        <v>280</v>
      </c>
      <c r="V582">
        <v>110</v>
      </c>
      <c r="W582">
        <v>2.2000000000000002</v>
      </c>
      <c r="X582" t="s">
        <v>278</v>
      </c>
      <c r="Y582">
        <v>8</v>
      </c>
      <c r="Z582">
        <v>0.12</v>
      </c>
      <c r="AA582">
        <v>0.1</v>
      </c>
      <c r="AB582">
        <v>48720</v>
      </c>
      <c r="AC582">
        <v>43848</v>
      </c>
      <c r="AD582">
        <v>382.8</v>
      </c>
      <c r="AE582">
        <v>5261.76</v>
      </c>
      <c r="AF582">
        <v>5262</v>
      </c>
      <c r="AG582">
        <v>19140</v>
      </c>
      <c r="AH582">
        <v>14184.239999999998</v>
      </c>
      <c r="AI582" s="5">
        <v>0.32348659003831398</v>
      </c>
    </row>
    <row r="583" spans="14:35" x14ac:dyDescent="0.25">
      <c r="N583" t="s">
        <v>603</v>
      </c>
      <c r="O583" s="1">
        <v>46181.791666666664</v>
      </c>
      <c r="P583" t="s">
        <v>389</v>
      </c>
      <c r="Q583" t="s">
        <v>277</v>
      </c>
      <c r="R583" t="s">
        <v>29</v>
      </c>
      <c r="S583">
        <v>41</v>
      </c>
      <c r="T583" t="s">
        <v>390</v>
      </c>
      <c r="U583">
        <v>280</v>
      </c>
      <c r="V583">
        <v>110</v>
      </c>
      <c r="W583">
        <v>2.2000000000000002</v>
      </c>
      <c r="X583" t="s">
        <v>278</v>
      </c>
      <c r="Y583">
        <v>8</v>
      </c>
      <c r="Z583">
        <v>0.12</v>
      </c>
      <c r="AA583">
        <v>0.1</v>
      </c>
      <c r="AB583">
        <v>11480</v>
      </c>
      <c r="AC583">
        <v>10332</v>
      </c>
      <c r="AD583">
        <v>90.2</v>
      </c>
      <c r="AE583">
        <v>1239.8399999999999</v>
      </c>
      <c r="AF583">
        <v>1240</v>
      </c>
      <c r="AG583">
        <v>4510</v>
      </c>
      <c r="AH583">
        <v>3342.16</v>
      </c>
      <c r="AI583" s="5">
        <v>0.32347657762291898</v>
      </c>
    </row>
    <row r="584" spans="14:35" x14ac:dyDescent="0.25">
      <c r="N584" t="s">
        <v>604</v>
      </c>
      <c r="O584" s="1">
        <v>46181.958333333336</v>
      </c>
      <c r="P584" t="s">
        <v>389</v>
      </c>
      <c r="Q584" t="s">
        <v>277</v>
      </c>
      <c r="R584" t="s">
        <v>29</v>
      </c>
      <c r="S584">
        <v>166</v>
      </c>
      <c r="T584" t="s">
        <v>390</v>
      </c>
      <c r="U584">
        <v>280</v>
      </c>
      <c r="V584">
        <v>110</v>
      </c>
      <c r="W584">
        <v>2.2000000000000002</v>
      </c>
      <c r="X584" t="s">
        <v>278</v>
      </c>
      <c r="Y584">
        <v>8</v>
      </c>
      <c r="Z584">
        <v>0.12</v>
      </c>
      <c r="AA584">
        <v>0.1</v>
      </c>
      <c r="AB584">
        <v>46480</v>
      </c>
      <c r="AC584">
        <v>41832</v>
      </c>
      <c r="AD584">
        <v>365.20000000000005</v>
      </c>
      <c r="AE584">
        <v>5019.84</v>
      </c>
      <c r="AF584">
        <v>5020</v>
      </c>
      <c r="AG584">
        <v>18260</v>
      </c>
      <c r="AH584">
        <v>13532.16</v>
      </c>
      <c r="AI584" s="5">
        <v>0.32348823866896198</v>
      </c>
    </row>
    <row r="585" spans="14:35" x14ac:dyDescent="0.25">
      <c r="N585" t="s">
        <v>605</v>
      </c>
      <c r="O585" s="1">
        <v>46182.125</v>
      </c>
      <c r="P585" t="s">
        <v>389</v>
      </c>
      <c r="Q585" t="s">
        <v>277</v>
      </c>
      <c r="R585" t="s">
        <v>29</v>
      </c>
      <c r="S585">
        <v>24</v>
      </c>
      <c r="T585" t="s">
        <v>390</v>
      </c>
      <c r="U585">
        <v>280</v>
      </c>
      <c r="V585">
        <v>110</v>
      </c>
      <c r="W585">
        <v>2.2000000000000002</v>
      </c>
      <c r="X585" t="s">
        <v>278</v>
      </c>
      <c r="Y585">
        <v>8</v>
      </c>
      <c r="Z585">
        <v>0.12</v>
      </c>
      <c r="AA585">
        <v>0.1</v>
      </c>
      <c r="AB585">
        <v>6720</v>
      </c>
      <c r="AC585">
        <v>6048</v>
      </c>
      <c r="AD585">
        <v>52.800000000000004</v>
      </c>
      <c r="AE585">
        <v>725.76</v>
      </c>
      <c r="AF585">
        <v>726</v>
      </c>
      <c r="AG585">
        <v>2640</v>
      </c>
      <c r="AH585">
        <v>1956.2399999999998</v>
      </c>
      <c r="AI585" s="5">
        <v>0.32345238095238099</v>
      </c>
    </row>
    <row r="586" spans="14:35" x14ac:dyDescent="0.25">
      <c r="N586" t="s">
        <v>606</v>
      </c>
      <c r="O586" s="1">
        <v>46182.333333333336</v>
      </c>
      <c r="P586" t="s">
        <v>389</v>
      </c>
      <c r="Q586" t="s">
        <v>277</v>
      </c>
      <c r="R586" t="s">
        <v>29</v>
      </c>
      <c r="S586">
        <v>93</v>
      </c>
      <c r="T586" t="s">
        <v>390</v>
      </c>
      <c r="U586">
        <v>280</v>
      </c>
      <c r="V586">
        <v>110</v>
      </c>
      <c r="W586">
        <v>2.2000000000000002</v>
      </c>
      <c r="X586" t="s">
        <v>278</v>
      </c>
      <c r="Y586">
        <v>8</v>
      </c>
      <c r="Z586">
        <v>0.12</v>
      </c>
      <c r="AA586">
        <v>0.1</v>
      </c>
      <c r="AB586">
        <v>26040</v>
      </c>
      <c r="AC586">
        <v>23436</v>
      </c>
      <c r="AD586">
        <v>204.60000000000002</v>
      </c>
      <c r="AE586">
        <v>2812.3199999999997</v>
      </c>
      <c r="AF586">
        <v>2812</v>
      </c>
      <c r="AG586">
        <v>10230</v>
      </c>
      <c r="AH586">
        <v>7581.68</v>
      </c>
      <c r="AI586" s="5">
        <v>0.323505717699266</v>
      </c>
    </row>
    <row r="587" spans="14:35" x14ac:dyDescent="0.25">
      <c r="N587" t="s">
        <v>607</v>
      </c>
      <c r="O587" s="1">
        <v>46182.958333333336</v>
      </c>
      <c r="P587" t="s">
        <v>389</v>
      </c>
      <c r="Q587" t="s">
        <v>277</v>
      </c>
      <c r="R587" t="s">
        <v>32</v>
      </c>
      <c r="S587">
        <v>131</v>
      </c>
      <c r="T587" t="s">
        <v>390</v>
      </c>
      <c r="U587">
        <v>280</v>
      </c>
      <c r="V587">
        <v>110</v>
      </c>
      <c r="W587">
        <v>2.2000000000000002</v>
      </c>
      <c r="X587" t="s">
        <v>278</v>
      </c>
      <c r="Y587">
        <v>8</v>
      </c>
      <c r="Z587">
        <v>0.12</v>
      </c>
      <c r="AA587">
        <v>0.05</v>
      </c>
      <c r="AB587">
        <v>36680</v>
      </c>
      <c r="AC587">
        <v>34846</v>
      </c>
      <c r="AD587">
        <v>288.20000000000005</v>
      </c>
      <c r="AE587">
        <v>4181.5199999999995</v>
      </c>
      <c r="AF587">
        <v>4182</v>
      </c>
      <c r="AG587">
        <v>14410</v>
      </c>
      <c r="AH587">
        <v>12072.48</v>
      </c>
      <c r="AI587" s="5">
        <v>0.34645239051827997</v>
      </c>
    </row>
    <row r="588" spans="14:35" x14ac:dyDescent="0.25">
      <c r="N588" t="s">
        <v>608</v>
      </c>
      <c r="O588" s="1">
        <v>46183.083333333336</v>
      </c>
      <c r="P588" t="s">
        <v>389</v>
      </c>
      <c r="Q588" t="s">
        <v>277</v>
      </c>
      <c r="R588" t="s">
        <v>32</v>
      </c>
      <c r="S588">
        <v>42</v>
      </c>
      <c r="T588" t="s">
        <v>390</v>
      </c>
      <c r="U588">
        <v>280</v>
      </c>
      <c r="V588">
        <v>110</v>
      </c>
      <c r="W588">
        <v>2.2000000000000002</v>
      </c>
      <c r="X588" t="s">
        <v>278</v>
      </c>
      <c r="Y588">
        <v>8</v>
      </c>
      <c r="Z588">
        <v>0.12</v>
      </c>
      <c r="AA588">
        <v>0.05</v>
      </c>
      <c r="AB588">
        <v>11760</v>
      </c>
      <c r="AC588">
        <v>11172</v>
      </c>
      <c r="AD588">
        <v>92.4</v>
      </c>
      <c r="AE588">
        <v>1340.6399999999999</v>
      </c>
      <c r="AF588">
        <v>1341</v>
      </c>
      <c r="AG588">
        <v>4620</v>
      </c>
      <c r="AH588">
        <v>3870.3600000000006</v>
      </c>
      <c r="AI588" s="5">
        <v>0.34643394199785199</v>
      </c>
    </row>
    <row r="589" spans="14:35" x14ac:dyDescent="0.25">
      <c r="N589" t="s">
        <v>609</v>
      </c>
      <c r="O589" s="1">
        <v>46183.833333333336</v>
      </c>
      <c r="P589" t="s">
        <v>389</v>
      </c>
      <c r="Q589" t="s">
        <v>277</v>
      </c>
      <c r="R589" t="s">
        <v>24</v>
      </c>
      <c r="S589">
        <v>154</v>
      </c>
      <c r="T589" t="s">
        <v>390</v>
      </c>
      <c r="U589">
        <v>280</v>
      </c>
      <c r="V589">
        <v>110</v>
      </c>
      <c r="W589">
        <v>2.2000000000000002</v>
      </c>
      <c r="X589" t="s">
        <v>278</v>
      </c>
      <c r="Y589">
        <v>8</v>
      </c>
      <c r="Z589">
        <v>0.12</v>
      </c>
      <c r="AA589">
        <v>0.02</v>
      </c>
      <c r="AB589">
        <v>43120</v>
      </c>
      <c r="AC589">
        <v>42258</v>
      </c>
      <c r="AD589">
        <v>338.8</v>
      </c>
      <c r="AE589">
        <v>5070.96</v>
      </c>
      <c r="AF589">
        <v>5071</v>
      </c>
      <c r="AG589">
        <v>16940</v>
      </c>
      <c r="AH589">
        <v>15176.04</v>
      </c>
      <c r="AI589" s="5">
        <v>0.359128212409485</v>
      </c>
    </row>
    <row r="590" spans="14:35" x14ac:dyDescent="0.25">
      <c r="N590" t="s">
        <v>610</v>
      </c>
      <c r="O590" s="1">
        <v>46184.083333333336</v>
      </c>
      <c r="P590" t="s">
        <v>389</v>
      </c>
      <c r="Q590" t="s">
        <v>277</v>
      </c>
      <c r="R590" t="s">
        <v>32</v>
      </c>
      <c r="S590">
        <v>126</v>
      </c>
      <c r="T590" t="s">
        <v>390</v>
      </c>
      <c r="U590">
        <v>280</v>
      </c>
      <c r="V590">
        <v>110</v>
      </c>
      <c r="W590">
        <v>2.2000000000000002</v>
      </c>
      <c r="X590" t="s">
        <v>278</v>
      </c>
      <c r="Y590">
        <v>8</v>
      </c>
      <c r="Z590">
        <v>0.12</v>
      </c>
      <c r="AA590">
        <v>0.05</v>
      </c>
      <c r="AB590">
        <v>35280</v>
      </c>
      <c r="AC590">
        <v>33516</v>
      </c>
      <c r="AD590">
        <v>277.20000000000005</v>
      </c>
      <c r="AE590">
        <v>4021.92</v>
      </c>
      <c r="AF590">
        <v>4022</v>
      </c>
      <c r="AG590">
        <v>13860</v>
      </c>
      <c r="AH590">
        <v>11612.080000000002</v>
      </c>
      <c r="AI590" s="5">
        <v>0.34646377849385401</v>
      </c>
    </row>
    <row r="591" spans="14:35" x14ac:dyDescent="0.25">
      <c r="N591" t="s">
        <v>611</v>
      </c>
      <c r="O591" s="1">
        <v>46184.333333333336</v>
      </c>
      <c r="P591" t="s">
        <v>389</v>
      </c>
      <c r="Q591" t="s">
        <v>277</v>
      </c>
      <c r="R591" t="s">
        <v>24</v>
      </c>
      <c r="S591">
        <v>186</v>
      </c>
      <c r="T591" t="s">
        <v>390</v>
      </c>
      <c r="U591">
        <v>280</v>
      </c>
      <c r="V591">
        <v>110</v>
      </c>
      <c r="W591">
        <v>2.2000000000000002</v>
      </c>
      <c r="X591" t="s">
        <v>278</v>
      </c>
      <c r="Y591">
        <v>8</v>
      </c>
      <c r="Z591">
        <v>0.12</v>
      </c>
      <c r="AA591">
        <v>0.02</v>
      </c>
      <c r="AB591">
        <v>52080</v>
      </c>
      <c r="AC591">
        <v>51038</v>
      </c>
      <c r="AD591">
        <v>409.20000000000005</v>
      </c>
      <c r="AE591">
        <v>6124.5599999999995</v>
      </c>
      <c r="AF591">
        <v>6125</v>
      </c>
      <c r="AG591">
        <v>20460</v>
      </c>
      <c r="AH591">
        <v>18328.440000000002</v>
      </c>
      <c r="AI591" s="5">
        <v>0.35911360163015799</v>
      </c>
    </row>
    <row r="592" spans="14:35" x14ac:dyDescent="0.25">
      <c r="N592" t="s">
        <v>612</v>
      </c>
      <c r="O592" s="1">
        <v>46143</v>
      </c>
      <c r="P592" t="s">
        <v>389</v>
      </c>
      <c r="Q592" t="s">
        <v>23</v>
      </c>
      <c r="R592" t="s">
        <v>32</v>
      </c>
      <c r="S592">
        <v>29</v>
      </c>
      <c r="T592" t="s">
        <v>390</v>
      </c>
      <c r="U592">
        <v>280</v>
      </c>
      <c r="V592">
        <v>110</v>
      </c>
      <c r="W592">
        <v>2.2000000000000002</v>
      </c>
      <c r="X592" t="s">
        <v>26</v>
      </c>
      <c r="Y592">
        <v>4.5</v>
      </c>
      <c r="Z592">
        <v>0.05</v>
      </c>
      <c r="AA592">
        <v>0.05</v>
      </c>
      <c r="AB592">
        <v>8120</v>
      </c>
      <c r="AC592">
        <v>7714</v>
      </c>
      <c r="AD592">
        <v>63.800000000000004</v>
      </c>
      <c r="AE592">
        <v>385.70000000000005</v>
      </c>
      <c r="AF592">
        <v>386</v>
      </c>
      <c r="AG592">
        <v>3190</v>
      </c>
      <c r="AH592">
        <v>3752.3</v>
      </c>
      <c r="AI592" s="5">
        <v>0.48642727508426198</v>
      </c>
    </row>
    <row r="593" spans="14:35" x14ac:dyDescent="0.25">
      <c r="N593" t="s">
        <v>613</v>
      </c>
      <c r="O593" s="1">
        <v>46143.041666666664</v>
      </c>
      <c r="P593" t="s">
        <v>389</v>
      </c>
      <c r="Q593" t="s">
        <v>23</v>
      </c>
      <c r="R593" t="s">
        <v>32</v>
      </c>
      <c r="S593">
        <v>53</v>
      </c>
      <c r="T593" t="s">
        <v>390</v>
      </c>
      <c r="U593">
        <v>280</v>
      </c>
      <c r="V593">
        <v>110</v>
      </c>
      <c r="W593">
        <v>2.2000000000000002</v>
      </c>
      <c r="X593" t="s">
        <v>26</v>
      </c>
      <c r="Y593">
        <v>4.5</v>
      </c>
      <c r="Z593">
        <v>0.05</v>
      </c>
      <c r="AA593">
        <v>0.05</v>
      </c>
      <c r="AB593">
        <v>14840</v>
      </c>
      <c r="AC593">
        <v>14098</v>
      </c>
      <c r="AD593">
        <v>116.60000000000001</v>
      </c>
      <c r="AE593">
        <v>704.90000000000009</v>
      </c>
      <c r="AF593">
        <v>705</v>
      </c>
      <c r="AG593">
        <v>5830</v>
      </c>
      <c r="AH593">
        <v>6858.1</v>
      </c>
      <c r="AI593" s="5">
        <v>0.48645907220882401</v>
      </c>
    </row>
    <row r="594" spans="14:35" x14ac:dyDescent="0.25">
      <c r="N594" t="s">
        <v>614</v>
      </c>
      <c r="O594" s="1">
        <v>46143.083333333336</v>
      </c>
      <c r="P594" t="s">
        <v>389</v>
      </c>
      <c r="Q594" t="s">
        <v>23</v>
      </c>
      <c r="R594" t="s">
        <v>29</v>
      </c>
      <c r="S594">
        <v>156</v>
      </c>
      <c r="T594" t="s">
        <v>390</v>
      </c>
      <c r="U594">
        <v>280</v>
      </c>
      <c r="V594">
        <v>110</v>
      </c>
      <c r="W594">
        <v>2.2000000000000002</v>
      </c>
      <c r="X594" t="s">
        <v>26</v>
      </c>
      <c r="Y594">
        <v>4.5</v>
      </c>
      <c r="Z594">
        <v>0.05</v>
      </c>
      <c r="AA594">
        <v>0.1</v>
      </c>
      <c r="AB594">
        <v>43680</v>
      </c>
      <c r="AC594">
        <v>39312</v>
      </c>
      <c r="AD594">
        <v>343.20000000000005</v>
      </c>
      <c r="AE594">
        <v>1965.6000000000001</v>
      </c>
      <c r="AF594">
        <v>1966</v>
      </c>
      <c r="AG594">
        <v>17160</v>
      </c>
      <c r="AH594">
        <v>18220.400000000001</v>
      </c>
      <c r="AI594" s="5">
        <v>0.46348188848188898</v>
      </c>
    </row>
    <row r="595" spans="14:35" x14ac:dyDescent="0.25">
      <c r="N595" t="s">
        <v>615</v>
      </c>
      <c r="O595" s="1">
        <v>46143.791666666664</v>
      </c>
      <c r="P595" t="s">
        <v>389</v>
      </c>
      <c r="Q595" t="s">
        <v>23</v>
      </c>
      <c r="R595" t="s">
        <v>24</v>
      </c>
      <c r="S595">
        <v>154</v>
      </c>
      <c r="T595" t="s">
        <v>390</v>
      </c>
      <c r="U595">
        <v>280</v>
      </c>
      <c r="V595">
        <v>110</v>
      </c>
      <c r="W595">
        <v>2.2000000000000002</v>
      </c>
      <c r="X595" t="s">
        <v>26</v>
      </c>
      <c r="Y595">
        <v>4.5</v>
      </c>
      <c r="Z595">
        <v>0.05</v>
      </c>
      <c r="AA595">
        <v>0.02</v>
      </c>
      <c r="AB595">
        <v>43120</v>
      </c>
      <c r="AC595">
        <v>42258</v>
      </c>
      <c r="AD595">
        <v>338.8</v>
      </c>
      <c r="AE595">
        <v>2112.9</v>
      </c>
      <c r="AF595">
        <v>2113</v>
      </c>
      <c r="AG595">
        <v>16940</v>
      </c>
      <c r="AH595">
        <v>21092.1</v>
      </c>
      <c r="AI595" s="5">
        <v>0.49912679255998899</v>
      </c>
    </row>
    <row r="596" spans="14:35" x14ac:dyDescent="0.25">
      <c r="N596" t="s">
        <v>616</v>
      </c>
      <c r="O596" s="1">
        <v>46143.875</v>
      </c>
      <c r="P596" t="s">
        <v>389</v>
      </c>
      <c r="Q596" t="s">
        <v>23</v>
      </c>
      <c r="R596" t="s">
        <v>29</v>
      </c>
      <c r="S596">
        <v>169</v>
      </c>
      <c r="T596" t="s">
        <v>390</v>
      </c>
      <c r="U596">
        <v>280</v>
      </c>
      <c r="V596">
        <v>110</v>
      </c>
      <c r="W596">
        <v>2.2000000000000002</v>
      </c>
      <c r="X596" t="s">
        <v>26</v>
      </c>
      <c r="Y596">
        <v>4.5</v>
      </c>
      <c r="Z596">
        <v>0.05</v>
      </c>
      <c r="AA596">
        <v>0.1</v>
      </c>
      <c r="AB596">
        <v>47320</v>
      </c>
      <c r="AC596">
        <v>42588</v>
      </c>
      <c r="AD596">
        <v>371.8</v>
      </c>
      <c r="AE596">
        <v>2129.4</v>
      </c>
      <c r="AF596">
        <v>2129</v>
      </c>
      <c r="AG596">
        <v>18590</v>
      </c>
      <c r="AH596">
        <v>19739.599999999999</v>
      </c>
      <c r="AI596" s="5">
        <v>0.46350145580914798</v>
      </c>
    </row>
    <row r="597" spans="14:35" x14ac:dyDescent="0.25">
      <c r="N597" t="s">
        <v>617</v>
      </c>
      <c r="O597" s="1">
        <v>46143.958333333336</v>
      </c>
      <c r="P597" t="s">
        <v>389</v>
      </c>
      <c r="Q597" t="s">
        <v>23</v>
      </c>
      <c r="R597" t="s">
        <v>24</v>
      </c>
      <c r="S597">
        <v>66</v>
      </c>
      <c r="T597" t="s">
        <v>390</v>
      </c>
      <c r="U597">
        <v>280</v>
      </c>
      <c r="V597">
        <v>110</v>
      </c>
      <c r="W597">
        <v>2.2000000000000002</v>
      </c>
      <c r="X597" t="s">
        <v>26</v>
      </c>
      <c r="Y597">
        <v>4.5</v>
      </c>
      <c r="Z597">
        <v>0.05</v>
      </c>
      <c r="AA597">
        <v>0.02</v>
      </c>
      <c r="AB597">
        <v>18480</v>
      </c>
      <c r="AC597">
        <v>18110</v>
      </c>
      <c r="AD597">
        <v>145.20000000000002</v>
      </c>
      <c r="AE597">
        <v>905.5</v>
      </c>
      <c r="AF597">
        <v>906</v>
      </c>
      <c r="AG597">
        <v>7260</v>
      </c>
      <c r="AH597">
        <v>9038.5</v>
      </c>
      <c r="AI597" s="5">
        <v>0.49908890115957999</v>
      </c>
    </row>
    <row r="598" spans="14:35" x14ac:dyDescent="0.25">
      <c r="N598" t="s">
        <v>618</v>
      </c>
      <c r="O598" s="1">
        <v>46144.375</v>
      </c>
      <c r="P598" t="s">
        <v>389</v>
      </c>
      <c r="Q598" t="s">
        <v>23</v>
      </c>
      <c r="R598" t="s">
        <v>29</v>
      </c>
      <c r="S598">
        <v>49</v>
      </c>
      <c r="T598" t="s">
        <v>390</v>
      </c>
      <c r="U598">
        <v>280</v>
      </c>
      <c r="V598">
        <v>110</v>
      </c>
      <c r="W598">
        <v>2.2000000000000002</v>
      </c>
      <c r="X598" t="s">
        <v>26</v>
      </c>
      <c r="Y598">
        <v>4.5</v>
      </c>
      <c r="Z598">
        <v>0.05</v>
      </c>
      <c r="AA598">
        <v>0.1</v>
      </c>
      <c r="AB598">
        <v>13720</v>
      </c>
      <c r="AC598">
        <v>12348</v>
      </c>
      <c r="AD598">
        <v>107.80000000000001</v>
      </c>
      <c r="AE598">
        <v>617.40000000000009</v>
      </c>
      <c r="AF598">
        <v>617</v>
      </c>
      <c r="AG598">
        <v>5390</v>
      </c>
      <c r="AH598">
        <v>5723.6</v>
      </c>
      <c r="AI598" s="5">
        <v>0.46352445740200798</v>
      </c>
    </row>
    <row r="599" spans="14:35" x14ac:dyDescent="0.25">
      <c r="N599" t="s">
        <v>619</v>
      </c>
      <c r="O599" s="1">
        <v>46144.416666666664</v>
      </c>
      <c r="P599" t="s">
        <v>389</v>
      </c>
      <c r="Q599" t="s">
        <v>23</v>
      </c>
      <c r="R599" t="s">
        <v>32</v>
      </c>
      <c r="S599">
        <v>37</v>
      </c>
      <c r="T599" t="s">
        <v>390</v>
      </c>
      <c r="U599">
        <v>280</v>
      </c>
      <c r="V599">
        <v>110</v>
      </c>
      <c r="W599">
        <v>2.2000000000000002</v>
      </c>
      <c r="X599" t="s">
        <v>26</v>
      </c>
      <c r="Y599">
        <v>4.5</v>
      </c>
      <c r="Z599">
        <v>0.05</v>
      </c>
      <c r="AA599">
        <v>0.05</v>
      </c>
      <c r="AB599">
        <v>10360</v>
      </c>
      <c r="AC599">
        <v>9842</v>
      </c>
      <c r="AD599">
        <v>81.400000000000006</v>
      </c>
      <c r="AE599">
        <v>492.1</v>
      </c>
      <c r="AF599">
        <v>492</v>
      </c>
      <c r="AG599">
        <v>4070</v>
      </c>
      <c r="AH599">
        <v>4787.8999999999996</v>
      </c>
      <c r="AI599" s="5">
        <v>0.48647632595001</v>
      </c>
    </row>
    <row r="600" spans="14:35" x14ac:dyDescent="0.25">
      <c r="N600" t="s">
        <v>620</v>
      </c>
      <c r="O600" s="1">
        <v>46144.958333333336</v>
      </c>
      <c r="P600" t="s">
        <v>389</v>
      </c>
      <c r="Q600" t="s">
        <v>23</v>
      </c>
      <c r="R600" t="s">
        <v>32</v>
      </c>
      <c r="S600">
        <v>193</v>
      </c>
      <c r="T600" t="s">
        <v>390</v>
      </c>
      <c r="U600">
        <v>280</v>
      </c>
      <c r="V600">
        <v>110</v>
      </c>
      <c r="W600">
        <v>2.2000000000000002</v>
      </c>
      <c r="X600" t="s">
        <v>26</v>
      </c>
      <c r="Y600">
        <v>4.5</v>
      </c>
      <c r="Z600">
        <v>0.05</v>
      </c>
      <c r="AA600">
        <v>0.05</v>
      </c>
      <c r="AB600">
        <v>54040</v>
      </c>
      <c r="AC600">
        <v>51338</v>
      </c>
      <c r="AD600">
        <v>424.6</v>
      </c>
      <c r="AE600">
        <v>2566.9</v>
      </c>
      <c r="AF600">
        <v>2567</v>
      </c>
      <c r="AG600">
        <v>21230</v>
      </c>
      <c r="AH600">
        <v>24974.1</v>
      </c>
      <c r="AI600" s="5">
        <v>0.48646421753866498</v>
      </c>
    </row>
    <row r="601" spans="14:35" x14ac:dyDescent="0.25">
      <c r="N601" t="s">
        <v>621</v>
      </c>
      <c r="O601" s="1">
        <v>46145.208333333336</v>
      </c>
      <c r="P601" t="s">
        <v>389</v>
      </c>
      <c r="Q601" t="s">
        <v>23</v>
      </c>
      <c r="R601" t="s">
        <v>29</v>
      </c>
      <c r="S601">
        <v>169</v>
      </c>
      <c r="T601" t="s">
        <v>390</v>
      </c>
      <c r="U601">
        <v>280</v>
      </c>
      <c r="V601">
        <v>110</v>
      </c>
      <c r="W601">
        <v>2.2000000000000002</v>
      </c>
      <c r="X601" t="s">
        <v>26</v>
      </c>
      <c r="Y601">
        <v>4.5</v>
      </c>
      <c r="Z601">
        <v>0.05</v>
      </c>
      <c r="AA601">
        <v>0.1</v>
      </c>
      <c r="AB601">
        <v>47320</v>
      </c>
      <c r="AC601">
        <v>42588</v>
      </c>
      <c r="AD601">
        <v>371.8</v>
      </c>
      <c r="AE601">
        <v>2129.4</v>
      </c>
      <c r="AF601">
        <v>2129</v>
      </c>
      <c r="AG601">
        <v>18590</v>
      </c>
      <c r="AH601">
        <v>19739.599999999999</v>
      </c>
      <c r="AI601" s="5">
        <v>0.46350145580914798</v>
      </c>
    </row>
    <row r="602" spans="14:35" x14ac:dyDescent="0.25">
      <c r="N602" t="s">
        <v>622</v>
      </c>
      <c r="O602" s="1">
        <v>46145.833333333336</v>
      </c>
      <c r="P602" t="s">
        <v>389</v>
      </c>
      <c r="Q602" t="s">
        <v>23</v>
      </c>
      <c r="R602" t="s">
        <v>32</v>
      </c>
      <c r="S602">
        <v>155</v>
      </c>
      <c r="T602" t="s">
        <v>390</v>
      </c>
      <c r="U602">
        <v>280</v>
      </c>
      <c r="V602">
        <v>110</v>
      </c>
      <c r="W602">
        <v>2.2000000000000002</v>
      </c>
      <c r="X602" t="s">
        <v>26</v>
      </c>
      <c r="Y602">
        <v>4.5</v>
      </c>
      <c r="Z602">
        <v>0.05</v>
      </c>
      <c r="AA602">
        <v>0.05</v>
      </c>
      <c r="AB602">
        <v>43400</v>
      </c>
      <c r="AC602">
        <v>41230</v>
      </c>
      <c r="AD602">
        <v>341</v>
      </c>
      <c r="AE602">
        <v>2061.5</v>
      </c>
      <c r="AF602">
        <v>2062</v>
      </c>
      <c r="AG602">
        <v>17050</v>
      </c>
      <c r="AH602">
        <v>20056.5</v>
      </c>
      <c r="AI602" s="5">
        <v>0.48645403832160999</v>
      </c>
    </row>
    <row r="603" spans="14:35" x14ac:dyDescent="0.25">
      <c r="N603" t="s">
        <v>623</v>
      </c>
      <c r="O603" s="1">
        <v>46146.041666666664</v>
      </c>
      <c r="P603" t="s">
        <v>389</v>
      </c>
      <c r="Q603" t="s">
        <v>23</v>
      </c>
      <c r="R603" t="s">
        <v>29</v>
      </c>
      <c r="S603">
        <v>96</v>
      </c>
      <c r="T603" t="s">
        <v>390</v>
      </c>
      <c r="U603">
        <v>280</v>
      </c>
      <c r="V603">
        <v>110</v>
      </c>
      <c r="W603">
        <v>2.2000000000000002</v>
      </c>
      <c r="X603" t="s">
        <v>26</v>
      </c>
      <c r="Y603">
        <v>4.5</v>
      </c>
      <c r="Z603">
        <v>0.05</v>
      </c>
      <c r="AA603">
        <v>0.1</v>
      </c>
      <c r="AB603">
        <v>26880</v>
      </c>
      <c r="AC603">
        <v>24192</v>
      </c>
      <c r="AD603">
        <v>211.20000000000002</v>
      </c>
      <c r="AE603">
        <v>1209.6000000000001</v>
      </c>
      <c r="AF603">
        <v>1210</v>
      </c>
      <c r="AG603">
        <v>10560</v>
      </c>
      <c r="AH603">
        <v>11212.4</v>
      </c>
      <c r="AI603" s="5">
        <v>0.46347552910052903</v>
      </c>
    </row>
    <row r="604" spans="14:35" x14ac:dyDescent="0.25">
      <c r="N604" t="s">
        <v>624</v>
      </c>
      <c r="O604" s="1">
        <v>46146.541666666664</v>
      </c>
      <c r="P604" t="s">
        <v>389</v>
      </c>
      <c r="Q604" t="s">
        <v>23</v>
      </c>
      <c r="R604" t="s">
        <v>29</v>
      </c>
      <c r="S604">
        <v>12</v>
      </c>
      <c r="T604" t="s">
        <v>390</v>
      </c>
      <c r="U604">
        <v>280</v>
      </c>
      <c r="V604">
        <v>110</v>
      </c>
      <c r="W604">
        <v>2.2000000000000002</v>
      </c>
      <c r="X604" t="s">
        <v>26</v>
      </c>
      <c r="Y604">
        <v>4.5</v>
      </c>
      <c r="Z604">
        <v>0.05</v>
      </c>
      <c r="AA604">
        <v>0.1</v>
      </c>
      <c r="AB604">
        <v>3360</v>
      </c>
      <c r="AC604">
        <v>3024</v>
      </c>
      <c r="AD604">
        <v>26.400000000000002</v>
      </c>
      <c r="AE604">
        <v>151.20000000000002</v>
      </c>
      <c r="AF604">
        <v>151</v>
      </c>
      <c r="AG604">
        <v>1320</v>
      </c>
      <c r="AH604">
        <v>1401.8</v>
      </c>
      <c r="AI604" s="5">
        <v>0.463558201058201</v>
      </c>
    </row>
    <row r="605" spans="14:35" x14ac:dyDescent="0.25">
      <c r="N605" t="s">
        <v>625</v>
      </c>
      <c r="O605" s="1">
        <v>46146.625</v>
      </c>
      <c r="P605" t="s">
        <v>389</v>
      </c>
      <c r="Q605" t="s">
        <v>23</v>
      </c>
      <c r="R605" t="s">
        <v>32</v>
      </c>
      <c r="S605">
        <v>157</v>
      </c>
      <c r="T605" t="s">
        <v>390</v>
      </c>
      <c r="U605">
        <v>280</v>
      </c>
      <c r="V605">
        <v>110</v>
      </c>
      <c r="W605">
        <v>2.2000000000000002</v>
      </c>
      <c r="X605" t="s">
        <v>26</v>
      </c>
      <c r="Y605">
        <v>4.5</v>
      </c>
      <c r="Z605">
        <v>0.05</v>
      </c>
      <c r="AA605">
        <v>0.05</v>
      </c>
      <c r="AB605">
        <v>43960</v>
      </c>
      <c r="AC605">
        <v>41762</v>
      </c>
      <c r="AD605">
        <v>345.40000000000003</v>
      </c>
      <c r="AE605">
        <v>2088.1</v>
      </c>
      <c r="AF605">
        <v>2088</v>
      </c>
      <c r="AG605">
        <v>17270</v>
      </c>
      <c r="AH605">
        <v>20315.900000000001</v>
      </c>
      <c r="AI605" s="5">
        <v>0.48646855993486898</v>
      </c>
    </row>
    <row r="606" spans="14:35" x14ac:dyDescent="0.25">
      <c r="N606" t="s">
        <v>626</v>
      </c>
      <c r="O606" s="1">
        <v>46147.375</v>
      </c>
      <c r="P606" t="s">
        <v>389</v>
      </c>
      <c r="Q606" t="s">
        <v>23</v>
      </c>
      <c r="R606" t="s">
        <v>32</v>
      </c>
      <c r="S606">
        <v>29</v>
      </c>
      <c r="T606" t="s">
        <v>390</v>
      </c>
      <c r="U606">
        <v>280</v>
      </c>
      <c r="V606">
        <v>110</v>
      </c>
      <c r="W606">
        <v>2.2000000000000002</v>
      </c>
      <c r="X606" t="s">
        <v>26</v>
      </c>
      <c r="Y606">
        <v>4.5</v>
      </c>
      <c r="Z606">
        <v>0.05</v>
      </c>
      <c r="AA606">
        <v>0.05</v>
      </c>
      <c r="AB606">
        <v>8120</v>
      </c>
      <c r="AC606">
        <v>7714</v>
      </c>
      <c r="AD606">
        <v>63.800000000000004</v>
      </c>
      <c r="AE606">
        <v>385.70000000000005</v>
      </c>
      <c r="AF606">
        <v>386</v>
      </c>
      <c r="AG606">
        <v>3190</v>
      </c>
      <c r="AH606">
        <v>3752.3</v>
      </c>
      <c r="AI606" s="5">
        <v>0.48642727508426198</v>
      </c>
    </row>
    <row r="607" spans="14:35" x14ac:dyDescent="0.25">
      <c r="N607" t="s">
        <v>627</v>
      </c>
      <c r="O607" s="1">
        <v>46147.625</v>
      </c>
      <c r="P607" t="s">
        <v>389</v>
      </c>
      <c r="Q607" t="s">
        <v>23</v>
      </c>
      <c r="R607" t="s">
        <v>24</v>
      </c>
      <c r="S607">
        <v>140</v>
      </c>
      <c r="T607" t="s">
        <v>390</v>
      </c>
      <c r="U607">
        <v>280</v>
      </c>
      <c r="V607">
        <v>110</v>
      </c>
      <c r="W607">
        <v>2.2000000000000002</v>
      </c>
      <c r="X607" t="s">
        <v>26</v>
      </c>
      <c r="Y607">
        <v>4.5</v>
      </c>
      <c r="Z607">
        <v>0.05</v>
      </c>
      <c r="AA607">
        <v>0.02</v>
      </c>
      <c r="AB607">
        <v>39200</v>
      </c>
      <c r="AC607">
        <v>38416</v>
      </c>
      <c r="AD607">
        <v>308</v>
      </c>
      <c r="AE607">
        <v>1920.8000000000002</v>
      </c>
      <c r="AF607">
        <v>1921</v>
      </c>
      <c r="AG607">
        <v>15400</v>
      </c>
      <c r="AH607">
        <v>19174.2</v>
      </c>
      <c r="AI607" s="5">
        <v>0.49912015826738898</v>
      </c>
    </row>
    <row r="608" spans="14:35" x14ac:dyDescent="0.25">
      <c r="N608" t="s">
        <v>628</v>
      </c>
      <c r="O608" s="1">
        <v>46147.708333333336</v>
      </c>
      <c r="P608" t="s">
        <v>389</v>
      </c>
      <c r="Q608" t="s">
        <v>23</v>
      </c>
      <c r="R608" t="s">
        <v>29</v>
      </c>
      <c r="S608">
        <v>126</v>
      </c>
      <c r="T608" t="s">
        <v>390</v>
      </c>
      <c r="U608">
        <v>280</v>
      </c>
      <c r="V608">
        <v>110</v>
      </c>
      <c r="W608">
        <v>2.2000000000000002</v>
      </c>
      <c r="X608" t="s">
        <v>26</v>
      </c>
      <c r="Y608">
        <v>4.5</v>
      </c>
      <c r="Z608">
        <v>0.05</v>
      </c>
      <c r="AA608">
        <v>0.1</v>
      </c>
      <c r="AB608">
        <v>35280</v>
      </c>
      <c r="AC608">
        <v>31752</v>
      </c>
      <c r="AD608">
        <v>277.20000000000005</v>
      </c>
      <c r="AE608">
        <v>1587.6000000000001</v>
      </c>
      <c r="AF608">
        <v>1588</v>
      </c>
      <c r="AG608">
        <v>13860</v>
      </c>
      <c r="AH608">
        <v>14716.400000000001</v>
      </c>
      <c r="AI608" s="5">
        <v>0.46347946586041799</v>
      </c>
    </row>
    <row r="609" spans="14:35" x14ac:dyDescent="0.25">
      <c r="N609" t="s">
        <v>629</v>
      </c>
      <c r="O609" s="1">
        <v>46148.875</v>
      </c>
      <c r="P609" t="s">
        <v>389</v>
      </c>
      <c r="Q609" t="s">
        <v>23</v>
      </c>
      <c r="R609" t="s">
        <v>24</v>
      </c>
      <c r="S609">
        <v>119</v>
      </c>
      <c r="T609" t="s">
        <v>390</v>
      </c>
      <c r="U609">
        <v>280</v>
      </c>
      <c r="V609">
        <v>110</v>
      </c>
      <c r="W609">
        <v>2.2000000000000002</v>
      </c>
      <c r="X609" t="s">
        <v>26</v>
      </c>
      <c r="Y609">
        <v>4.5</v>
      </c>
      <c r="Z609">
        <v>0.05</v>
      </c>
      <c r="AA609">
        <v>0.02</v>
      </c>
      <c r="AB609">
        <v>33320</v>
      </c>
      <c r="AC609">
        <v>32654</v>
      </c>
      <c r="AD609">
        <v>261.8</v>
      </c>
      <c r="AE609">
        <v>1632.7</v>
      </c>
      <c r="AF609">
        <v>1633</v>
      </c>
      <c r="AG609">
        <v>13090</v>
      </c>
      <c r="AH609">
        <v>16298.3</v>
      </c>
      <c r="AI609" s="5">
        <v>0.49912108776872699</v>
      </c>
    </row>
    <row r="610" spans="14:35" x14ac:dyDescent="0.25">
      <c r="N610" t="s">
        <v>630</v>
      </c>
      <c r="O610" s="1">
        <v>46148.916666666664</v>
      </c>
      <c r="P610" t="s">
        <v>389</v>
      </c>
      <c r="Q610" t="s">
        <v>23</v>
      </c>
      <c r="R610" t="s">
        <v>24</v>
      </c>
      <c r="S610">
        <v>177</v>
      </c>
      <c r="T610" t="s">
        <v>390</v>
      </c>
      <c r="U610">
        <v>280</v>
      </c>
      <c r="V610">
        <v>110</v>
      </c>
      <c r="W610">
        <v>2.2000000000000002</v>
      </c>
      <c r="X610" t="s">
        <v>26</v>
      </c>
      <c r="Y610">
        <v>4.5</v>
      </c>
      <c r="Z610">
        <v>0.05</v>
      </c>
      <c r="AA610">
        <v>0.02</v>
      </c>
      <c r="AB610">
        <v>49560</v>
      </c>
      <c r="AC610">
        <v>48569</v>
      </c>
      <c r="AD610">
        <v>389.40000000000003</v>
      </c>
      <c r="AE610">
        <v>2428.4500000000003</v>
      </c>
      <c r="AF610">
        <v>2428</v>
      </c>
      <c r="AG610">
        <v>19470</v>
      </c>
      <c r="AH610">
        <v>24242.55</v>
      </c>
      <c r="AI610" s="5">
        <v>0.499136280343429</v>
      </c>
    </row>
    <row r="611" spans="14:35" x14ac:dyDescent="0.25">
      <c r="N611" t="s">
        <v>631</v>
      </c>
      <c r="O611" s="1">
        <v>46149.041666666664</v>
      </c>
      <c r="P611" t="s">
        <v>389</v>
      </c>
      <c r="Q611" t="s">
        <v>23</v>
      </c>
      <c r="R611" t="s">
        <v>24</v>
      </c>
      <c r="S611">
        <v>77</v>
      </c>
      <c r="T611" t="s">
        <v>390</v>
      </c>
      <c r="U611">
        <v>280</v>
      </c>
      <c r="V611">
        <v>110</v>
      </c>
      <c r="W611">
        <v>2.2000000000000002</v>
      </c>
      <c r="X611" t="s">
        <v>26</v>
      </c>
      <c r="Y611">
        <v>4.5</v>
      </c>
      <c r="Z611">
        <v>0.05</v>
      </c>
      <c r="AA611">
        <v>0.02</v>
      </c>
      <c r="AB611">
        <v>21560</v>
      </c>
      <c r="AC611">
        <v>21129</v>
      </c>
      <c r="AD611">
        <v>169.4</v>
      </c>
      <c r="AE611">
        <v>1056.45</v>
      </c>
      <c r="AF611">
        <v>1056</v>
      </c>
      <c r="AG611">
        <v>8470</v>
      </c>
      <c r="AH611">
        <v>10546.55</v>
      </c>
      <c r="AI611" s="5">
        <v>0.49915045671825398</v>
      </c>
    </row>
    <row r="612" spans="14:35" x14ac:dyDescent="0.25">
      <c r="N612" t="s">
        <v>632</v>
      </c>
      <c r="O612" s="1">
        <v>46150.166666666664</v>
      </c>
      <c r="P612" t="s">
        <v>389</v>
      </c>
      <c r="Q612" t="s">
        <v>23</v>
      </c>
      <c r="R612" t="s">
        <v>24</v>
      </c>
      <c r="S612">
        <v>156</v>
      </c>
      <c r="T612" t="s">
        <v>390</v>
      </c>
      <c r="U612">
        <v>280</v>
      </c>
      <c r="V612">
        <v>110</v>
      </c>
      <c r="W612">
        <v>2.2000000000000002</v>
      </c>
      <c r="X612" t="s">
        <v>26</v>
      </c>
      <c r="Y612">
        <v>4.5</v>
      </c>
      <c r="Z612">
        <v>0.05</v>
      </c>
      <c r="AA612">
        <v>0.02</v>
      </c>
      <c r="AB612">
        <v>43680</v>
      </c>
      <c r="AC612">
        <v>42806</v>
      </c>
      <c r="AD612">
        <v>343.20000000000005</v>
      </c>
      <c r="AE612">
        <v>2140.3000000000002</v>
      </c>
      <c r="AF612">
        <v>2140</v>
      </c>
      <c r="AG612">
        <v>17160</v>
      </c>
      <c r="AH612">
        <v>21365.7</v>
      </c>
      <c r="AI612" s="5">
        <v>0.49912862682801501</v>
      </c>
    </row>
    <row r="613" spans="14:35" x14ac:dyDescent="0.25">
      <c r="N613" t="s">
        <v>633</v>
      </c>
      <c r="O613" s="1">
        <v>46150.375</v>
      </c>
      <c r="P613" t="s">
        <v>389</v>
      </c>
      <c r="Q613" t="s">
        <v>23</v>
      </c>
      <c r="R613" t="s">
        <v>24</v>
      </c>
      <c r="S613">
        <v>112</v>
      </c>
      <c r="T613" t="s">
        <v>390</v>
      </c>
      <c r="U613">
        <v>280</v>
      </c>
      <c r="V613">
        <v>110</v>
      </c>
      <c r="W613">
        <v>2.2000000000000002</v>
      </c>
      <c r="X613" t="s">
        <v>26</v>
      </c>
      <c r="Y613">
        <v>4.5</v>
      </c>
      <c r="Z613">
        <v>0.05</v>
      </c>
      <c r="AA613">
        <v>0.02</v>
      </c>
      <c r="AB613">
        <v>31360</v>
      </c>
      <c r="AC613">
        <v>30733</v>
      </c>
      <c r="AD613">
        <v>246.40000000000003</v>
      </c>
      <c r="AE613">
        <v>1536.65</v>
      </c>
      <c r="AF613">
        <v>1537</v>
      </c>
      <c r="AG613">
        <v>12320</v>
      </c>
      <c r="AH613">
        <v>15339.35</v>
      </c>
      <c r="AI613" s="5">
        <v>0.49911658477857701</v>
      </c>
    </row>
    <row r="614" spans="14:35" x14ac:dyDescent="0.25">
      <c r="N614" t="s">
        <v>634</v>
      </c>
      <c r="O614" s="1">
        <v>46150.625</v>
      </c>
      <c r="P614" t="s">
        <v>389</v>
      </c>
      <c r="Q614" t="s">
        <v>23</v>
      </c>
      <c r="R614" t="s">
        <v>32</v>
      </c>
      <c r="S614">
        <v>140</v>
      </c>
      <c r="T614" t="s">
        <v>390</v>
      </c>
      <c r="U614">
        <v>280</v>
      </c>
      <c r="V614">
        <v>110</v>
      </c>
      <c r="W614">
        <v>2.2000000000000002</v>
      </c>
      <c r="X614" t="s">
        <v>26</v>
      </c>
      <c r="Y614">
        <v>4.5</v>
      </c>
      <c r="Z614">
        <v>0.05</v>
      </c>
      <c r="AA614">
        <v>0.05</v>
      </c>
      <c r="AB614">
        <v>39200</v>
      </c>
      <c r="AC614">
        <v>37240</v>
      </c>
      <c r="AD614">
        <v>308</v>
      </c>
      <c r="AE614">
        <v>1862</v>
      </c>
      <c r="AF614">
        <v>1862</v>
      </c>
      <c r="AG614">
        <v>15400</v>
      </c>
      <c r="AH614">
        <v>18116</v>
      </c>
      <c r="AI614" s="5">
        <v>0.48646616541353399</v>
      </c>
    </row>
    <row r="615" spans="14:35" x14ac:dyDescent="0.25">
      <c r="N615" t="s">
        <v>635</v>
      </c>
      <c r="O615" s="1">
        <v>46150.791666666664</v>
      </c>
      <c r="P615" t="s">
        <v>389</v>
      </c>
      <c r="Q615" t="s">
        <v>23</v>
      </c>
      <c r="R615" t="s">
        <v>32</v>
      </c>
      <c r="S615">
        <v>112</v>
      </c>
      <c r="T615" t="s">
        <v>390</v>
      </c>
      <c r="U615">
        <v>280</v>
      </c>
      <c r="V615">
        <v>110</v>
      </c>
      <c r="W615">
        <v>2.2000000000000002</v>
      </c>
      <c r="X615" t="s">
        <v>26</v>
      </c>
      <c r="Y615">
        <v>4.5</v>
      </c>
      <c r="Z615">
        <v>0.05</v>
      </c>
      <c r="AA615">
        <v>0.05</v>
      </c>
      <c r="AB615">
        <v>31360</v>
      </c>
      <c r="AC615">
        <v>29792</v>
      </c>
      <c r="AD615">
        <v>246.40000000000003</v>
      </c>
      <c r="AE615">
        <v>1489.6000000000001</v>
      </c>
      <c r="AF615">
        <v>1490</v>
      </c>
      <c r="AG615">
        <v>12320</v>
      </c>
      <c r="AH615">
        <v>14492.4</v>
      </c>
      <c r="AI615" s="5">
        <v>0.48645273899033298</v>
      </c>
    </row>
    <row r="616" spans="14:35" x14ac:dyDescent="0.25">
      <c r="N616" t="s">
        <v>636</v>
      </c>
      <c r="O616" s="1">
        <v>46150.916666666664</v>
      </c>
      <c r="P616" t="s">
        <v>389</v>
      </c>
      <c r="Q616" t="s">
        <v>23</v>
      </c>
      <c r="R616" t="s">
        <v>29</v>
      </c>
      <c r="S616">
        <v>13</v>
      </c>
      <c r="T616" t="s">
        <v>390</v>
      </c>
      <c r="U616">
        <v>280</v>
      </c>
      <c r="V616">
        <v>110</v>
      </c>
      <c r="W616">
        <v>2.2000000000000002</v>
      </c>
      <c r="X616" t="s">
        <v>26</v>
      </c>
      <c r="Y616">
        <v>4.5</v>
      </c>
      <c r="Z616">
        <v>0.05</v>
      </c>
      <c r="AA616">
        <v>0.1</v>
      </c>
      <c r="AB616">
        <v>3640</v>
      </c>
      <c r="AC616">
        <v>3276</v>
      </c>
      <c r="AD616">
        <v>28.6</v>
      </c>
      <c r="AE616">
        <v>163.80000000000001</v>
      </c>
      <c r="AF616">
        <v>164</v>
      </c>
      <c r="AG616">
        <v>1430</v>
      </c>
      <c r="AH616">
        <v>1518.2</v>
      </c>
      <c r="AI616" s="5">
        <v>0.46343101343101301</v>
      </c>
    </row>
    <row r="617" spans="14:35" x14ac:dyDescent="0.25">
      <c r="N617" t="s">
        <v>637</v>
      </c>
      <c r="O617" s="1">
        <v>46151.75</v>
      </c>
      <c r="P617" t="s">
        <v>389</v>
      </c>
      <c r="Q617" t="s">
        <v>23</v>
      </c>
      <c r="R617" t="s">
        <v>32</v>
      </c>
      <c r="S617">
        <v>75</v>
      </c>
      <c r="T617" t="s">
        <v>390</v>
      </c>
      <c r="U617">
        <v>280</v>
      </c>
      <c r="V617">
        <v>110</v>
      </c>
      <c r="W617">
        <v>2.2000000000000002</v>
      </c>
      <c r="X617" t="s">
        <v>26</v>
      </c>
      <c r="Y617">
        <v>4.5</v>
      </c>
      <c r="Z617">
        <v>0.05</v>
      </c>
      <c r="AA617">
        <v>0.05</v>
      </c>
      <c r="AB617">
        <v>21000</v>
      </c>
      <c r="AC617">
        <v>19950</v>
      </c>
      <c r="AD617">
        <v>165</v>
      </c>
      <c r="AE617">
        <v>997.5</v>
      </c>
      <c r="AF617">
        <v>998</v>
      </c>
      <c r="AG617">
        <v>8250</v>
      </c>
      <c r="AH617">
        <v>9704.5</v>
      </c>
      <c r="AI617" s="5">
        <v>0.48644110275689201</v>
      </c>
    </row>
    <row r="618" spans="14:35" x14ac:dyDescent="0.25">
      <c r="N618" t="s">
        <v>638</v>
      </c>
      <c r="O618" s="1">
        <v>46152.25</v>
      </c>
      <c r="P618" t="s">
        <v>389</v>
      </c>
      <c r="Q618" t="s">
        <v>23</v>
      </c>
      <c r="R618" t="s">
        <v>32</v>
      </c>
      <c r="S618">
        <v>128</v>
      </c>
      <c r="T618" t="s">
        <v>390</v>
      </c>
      <c r="U618">
        <v>280</v>
      </c>
      <c r="V618">
        <v>110</v>
      </c>
      <c r="W618">
        <v>2.2000000000000002</v>
      </c>
      <c r="X618" t="s">
        <v>26</v>
      </c>
      <c r="Y618">
        <v>4.5</v>
      </c>
      <c r="Z618">
        <v>0.05</v>
      </c>
      <c r="AA618">
        <v>0.05</v>
      </c>
      <c r="AB618">
        <v>35840</v>
      </c>
      <c r="AC618">
        <v>34048</v>
      </c>
      <c r="AD618">
        <v>281.60000000000002</v>
      </c>
      <c r="AE618">
        <v>1702.4</v>
      </c>
      <c r="AF618">
        <v>1702</v>
      </c>
      <c r="AG618">
        <v>14080</v>
      </c>
      <c r="AH618">
        <v>16563.599999999999</v>
      </c>
      <c r="AI618" s="5">
        <v>0.48647791353383402</v>
      </c>
    </row>
    <row r="619" spans="14:35" x14ac:dyDescent="0.25">
      <c r="N619" t="s">
        <v>639</v>
      </c>
      <c r="O619" s="1">
        <v>46152.416666666664</v>
      </c>
      <c r="P619" t="s">
        <v>389</v>
      </c>
      <c r="Q619" t="s">
        <v>23</v>
      </c>
      <c r="R619" t="s">
        <v>29</v>
      </c>
      <c r="S619">
        <v>31</v>
      </c>
      <c r="T619" t="s">
        <v>390</v>
      </c>
      <c r="U619">
        <v>280</v>
      </c>
      <c r="V619">
        <v>110</v>
      </c>
      <c r="W619">
        <v>2.2000000000000002</v>
      </c>
      <c r="X619" t="s">
        <v>26</v>
      </c>
      <c r="Y619">
        <v>4.5</v>
      </c>
      <c r="Z619">
        <v>0.05</v>
      </c>
      <c r="AA619">
        <v>0.1</v>
      </c>
      <c r="AB619">
        <v>8680</v>
      </c>
      <c r="AC619">
        <v>7812</v>
      </c>
      <c r="AD619">
        <v>68.2</v>
      </c>
      <c r="AE619">
        <v>390.6</v>
      </c>
      <c r="AF619">
        <v>391</v>
      </c>
      <c r="AG619">
        <v>3410</v>
      </c>
      <c r="AH619">
        <v>3620.3999999999996</v>
      </c>
      <c r="AI619" s="5">
        <v>0.46344086021505398</v>
      </c>
    </row>
    <row r="620" spans="14:35" x14ac:dyDescent="0.25">
      <c r="N620" t="s">
        <v>640</v>
      </c>
      <c r="O620" s="1">
        <v>46153.166666666664</v>
      </c>
      <c r="P620" t="s">
        <v>389</v>
      </c>
      <c r="Q620" t="s">
        <v>23</v>
      </c>
      <c r="R620" t="s">
        <v>29</v>
      </c>
      <c r="S620">
        <v>63</v>
      </c>
      <c r="T620" t="s">
        <v>390</v>
      </c>
      <c r="U620">
        <v>280</v>
      </c>
      <c r="V620">
        <v>110</v>
      </c>
      <c r="W620">
        <v>2.2000000000000002</v>
      </c>
      <c r="X620" t="s">
        <v>26</v>
      </c>
      <c r="Y620">
        <v>4.5</v>
      </c>
      <c r="Z620">
        <v>0.05</v>
      </c>
      <c r="AA620">
        <v>0.1</v>
      </c>
      <c r="AB620">
        <v>17640</v>
      </c>
      <c r="AC620">
        <v>15876</v>
      </c>
      <c r="AD620">
        <v>138.60000000000002</v>
      </c>
      <c r="AE620">
        <v>793.80000000000007</v>
      </c>
      <c r="AF620">
        <v>794</v>
      </c>
      <c r="AG620">
        <v>6930</v>
      </c>
      <c r="AH620">
        <v>7358.2000000000007</v>
      </c>
      <c r="AI620" s="5">
        <v>0.46347946586041799</v>
      </c>
    </row>
    <row r="621" spans="14:35" x14ac:dyDescent="0.25">
      <c r="N621" t="s">
        <v>641</v>
      </c>
      <c r="O621" s="1">
        <v>46153.25</v>
      </c>
      <c r="P621" t="s">
        <v>389</v>
      </c>
      <c r="Q621" t="s">
        <v>23</v>
      </c>
      <c r="R621" t="s">
        <v>24</v>
      </c>
      <c r="S621">
        <v>22</v>
      </c>
      <c r="T621" t="s">
        <v>390</v>
      </c>
      <c r="U621">
        <v>280</v>
      </c>
      <c r="V621">
        <v>110</v>
      </c>
      <c r="W621">
        <v>2.2000000000000002</v>
      </c>
      <c r="X621" t="s">
        <v>26</v>
      </c>
      <c r="Y621">
        <v>4.5</v>
      </c>
      <c r="Z621">
        <v>0.05</v>
      </c>
      <c r="AA621">
        <v>0.02</v>
      </c>
      <c r="AB621">
        <v>6160</v>
      </c>
      <c r="AC621">
        <v>6037</v>
      </c>
      <c r="AD621">
        <v>48.400000000000006</v>
      </c>
      <c r="AE621">
        <v>301.85000000000002</v>
      </c>
      <c r="AF621">
        <v>302</v>
      </c>
      <c r="AG621">
        <v>2420</v>
      </c>
      <c r="AH621">
        <v>3013.15</v>
      </c>
      <c r="AI621" s="5">
        <v>0.49911379824416102</v>
      </c>
    </row>
    <row r="622" spans="14:35" x14ac:dyDescent="0.25">
      <c r="N622" t="s">
        <v>642</v>
      </c>
      <c r="O622" s="1">
        <v>46153.416666666664</v>
      </c>
      <c r="P622" t="s">
        <v>389</v>
      </c>
      <c r="Q622" t="s">
        <v>23</v>
      </c>
      <c r="R622" t="s">
        <v>32</v>
      </c>
      <c r="S622">
        <v>130</v>
      </c>
      <c r="T622" t="s">
        <v>390</v>
      </c>
      <c r="U622">
        <v>280</v>
      </c>
      <c r="V622">
        <v>110</v>
      </c>
      <c r="W622">
        <v>2.2000000000000002</v>
      </c>
      <c r="X622" t="s">
        <v>26</v>
      </c>
      <c r="Y622">
        <v>4.5</v>
      </c>
      <c r="Z622">
        <v>0.05</v>
      </c>
      <c r="AA622">
        <v>0.05</v>
      </c>
      <c r="AB622">
        <v>36400</v>
      </c>
      <c r="AC622">
        <v>34580</v>
      </c>
      <c r="AD622">
        <v>286</v>
      </c>
      <c r="AE622">
        <v>1729</v>
      </c>
      <c r="AF622">
        <v>1729</v>
      </c>
      <c r="AG622">
        <v>14300</v>
      </c>
      <c r="AH622">
        <v>16822</v>
      </c>
      <c r="AI622" s="5">
        <v>0.48646616541353399</v>
      </c>
    </row>
    <row r="623" spans="14:35" x14ac:dyDescent="0.25">
      <c r="N623" t="s">
        <v>643</v>
      </c>
      <c r="O623" s="1">
        <v>46154.041666666664</v>
      </c>
      <c r="P623" t="s">
        <v>389</v>
      </c>
      <c r="Q623" t="s">
        <v>23</v>
      </c>
      <c r="R623" t="s">
        <v>29</v>
      </c>
      <c r="S623">
        <v>131</v>
      </c>
      <c r="T623" t="s">
        <v>390</v>
      </c>
      <c r="U623">
        <v>280</v>
      </c>
      <c r="V623">
        <v>110</v>
      </c>
      <c r="W623">
        <v>2.2000000000000002</v>
      </c>
      <c r="X623" t="s">
        <v>26</v>
      </c>
      <c r="Y623">
        <v>4.5</v>
      </c>
      <c r="Z623">
        <v>0.05</v>
      </c>
      <c r="AA623">
        <v>0.1</v>
      </c>
      <c r="AB623">
        <v>36680</v>
      </c>
      <c r="AC623">
        <v>33012</v>
      </c>
      <c r="AD623">
        <v>288.20000000000005</v>
      </c>
      <c r="AE623">
        <v>1650.6000000000001</v>
      </c>
      <c r="AF623">
        <v>1651</v>
      </c>
      <c r="AG623">
        <v>14410</v>
      </c>
      <c r="AH623">
        <v>15300.400000000001</v>
      </c>
      <c r="AI623" s="5">
        <v>0.46347994668605402</v>
      </c>
    </row>
    <row r="624" spans="14:35" x14ac:dyDescent="0.25">
      <c r="N624" t="s">
        <v>644</v>
      </c>
      <c r="O624" s="1">
        <v>46154.416666666664</v>
      </c>
      <c r="P624" t="s">
        <v>389</v>
      </c>
      <c r="Q624" t="s">
        <v>23</v>
      </c>
      <c r="R624" t="s">
        <v>29</v>
      </c>
      <c r="S624">
        <v>109</v>
      </c>
      <c r="T624" t="s">
        <v>390</v>
      </c>
      <c r="U624">
        <v>280</v>
      </c>
      <c r="V624">
        <v>110</v>
      </c>
      <c r="W624">
        <v>2.2000000000000002</v>
      </c>
      <c r="X624" t="s">
        <v>26</v>
      </c>
      <c r="Y624">
        <v>4.5</v>
      </c>
      <c r="Z624">
        <v>0.05</v>
      </c>
      <c r="AA624">
        <v>0.1</v>
      </c>
      <c r="AB624">
        <v>30520</v>
      </c>
      <c r="AC624">
        <v>27468</v>
      </c>
      <c r="AD624">
        <v>239.8</v>
      </c>
      <c r="AE624">
        <v>1373.4</v>
      </c>
      <c r="AF624">
        <v>1373</v>
      </c>
      <c r="AG624">
        <v>11990</v>
      </c>
      <c r="AH624">
        <v>12731.6</v>
      </c>
      <c r="AI624" s="5">
        <v>0.46350662589194702</v>
      </c>
    </row>
    <row r="625" spans="14:35" x14ac:dyDescent="0.25">
      <c r="N625" t="s">
        <v>645</v>
      </c>
      <c r="O625" s="1">
        <v>46154.625</v>
      </c>
      <c r="P625" t="s">
        <v>389</v>
      </c>
      <c r="Q625" t="s">
        <v>23</v>
      </c>
      <c r="R625" t="s">
        <v>24</v>
      </c>
      <c r="S625">
        <v>118</v>
      </c>
      <c r="T625" t="s">
        <v>390</v>
      </c>
      <c r="U625">
        <v>280</v>
      </c>
      <c r="V625">
        <v>110</v>
      </c>
      <c r="W625">
        <v>2.2000000000000002</v>
      </c>
      <c r="X625" t="s">
        <v>26</v>
      </c>
      <c r="Y625">
        <v>4.5</v>
      </c>
      <c r="Z625">
        <v>0.05</v>
      </c>
      <c r="AA625">
        <v>0.02</v>
      </c>
      <c r="AB625">
        <v>33040</v>
      </c>
      <c r="AC625">
        <v>32379</v>
      </c>
      <c r="AD625">
        <v>259.60000000000002</v>
      </c>
      <c r="AE625">
        <v>1618.95</v>
      </c>
      <c r="AF625">
        <v>1619</v>
      </c>
      <c r="AG625">
        <v>12980</v>
      </c>
      <c r="AH625">
        <v>16161.05</v>
      </c>
      <c r="AI625" s="5">
        <v>0.49912134408103997</v>
      </c>
    </row>
    <row r="626" spans="14:35" x14ac:dyDescent="0.25">
      <c r="N626" t="s">
        <v>646</v>
      </c>
      <c r="O626" s="1">
        <v>46154.958333333336</v>
      </c>
      <c r="P626" t="s">
        <v>389</v>
      </c>
      <c r="Q626" t="s">
        <v>23</v>
      </c>
      <c r="R626" t="s">
        <v>24</v>
      </c>
      <c r="S626">
        <v>175</v>
      </c>
      <c r="T626" t="s">
        <v>390</v>
      </c>
      <c r="U626">
        <v>280</v>
      </c>
      <c r="V626">
        <v>110</v>
      </c>
      <c r="W626">
        <v>2.2000000000000002</v>
      </c>
      <c r="X626" t="s">
        <v>26</v>
      </c>
      <c r="Y626">
        <v>4.5</v>
      </c>
      <c r="Z626">
        <v>0.05</v>
      </c>
      <c r="AA626">
        <v>0.02</v>
      </c>
      <c r="AB626">
        <v>49000</v>
      </c>
      <c r="AC626">
        <v>48020</v>
      </c>
      <c r="AD626">
        <v>385.00000000000006</v>
      </c>
      <c r="AE626">
        <v>2401</v>
      </c>
      <c r="AF626">
        <v>2401</v>
      </c>
      <c r="AG626">
        <v>19250</v>
      </c>
      <c r="AH626">
        <v>23968</v>
      </c>
      <c r="AI626" s="5">
        <v>0.49912536443148697</v>
      </c>
    </row>
    <row r="627" spans="14:35" x14ac:dyDescent="0.25">
      <c r="N627" t="s">
        <v>647</v>
      </c>
      <c r="O627" s="1">
        <v>46155.541666666664</v>
      </c>
      <c r="P627" t="s">
        <v>389</v>
      </c>
      <c r="Q627" t="s">
        <v>23</v>
      </c>
      <c r="R627" t="s">
        <v>32</v>
      </c>
      <c r="S627">
        <v>78</v>
      </c>
      <c r="T627" t="s">
        <v>390</v>
      </c>
      <c r="U627">
        <v>280</v>
      </c>
      <c r="V627">
        <v>110</v>
      </c>
      <c r="W627">
        <v>2.2000000000000002</v>
      </c>
      <c r="X627" t="s">
        <v>26</v>
      </c>
      <c r="Y627">
        <v>4.5</v>
      </c>
      <c r="Z627">
        <v>0.05</v>
      </c>
      <c r="AA627">
        <v>0.05</v>
      </c>
      <c r="AB627">
        <v>21840</v>
      </c>
      <c r="AC627">
        <v>20748</v>
      </c>
      <c r="AD627">
        <v>171.60000000000002</v>
      </c>
      <c r="AE627">
        <v>1037.4000000000001</v>
      </c>
      <c r="AF627">
        <v>1037</v>
      </c>
      <c r="AG627">
        <v>8580</v>
      </c>
      <c r="AH627">
        <v>10093.6</v>
      </c>
      <c r="AI627" s="5">
        <v>0.48648544438018099</v>
      </c>
    </row>
    <row r="628" spans="14:35" x14ac:dyDescent="0.25">
      <c r="N628" t="s">
        <v>648</v>
      </c>
      <c r="O628" s="1">
        <v>46156.083333333336</v>
      </c>
      <c r="P628" t="s">
        <v>389</v>
      </c>
      <c r="Q628" t="s">
        <v>23</v>
      </c>
      <c r="R628" t="s">
        <v>29</v>
      </c>
      <c r="S628">
        <v>90</v>
      </c>
      <c r="T628" t="s">
        <v>390</v>
      </c>
      <c r="U628">
        <v>280</v>
      </c>
      <c r="V628">
        <v>110</v>
      </c>
      <c r="W628">
        <v>2.2000000000000002</v>
      </c>
      <c r="X628" t="s">
        <v>26</v>
      </c>
      <c r="Y628">
        <v>4.5</v>
      </c>
      <c r="Z628">
        <v>0.05</v>
      </c>
      <c r="AA628">
        <v>0.1</v>
      </c>
      <c r="AB628">
        <v>25200</v>
      </c>
      <c r="AC628">
        <v>22680</v>
      </c>
      <c r="AD628">
        <v>198.00000000000003</v>
      </c>
      <c r="AE628">
        <v>1134</v>
      </c>
      <c r="AF628">
        <v>1134</v>
      </c>
      <c r="AG628">
        <v>9900</v>
      </c>
      <c r="AH628">
        <v>10512</v>
      </c>
      <c r="AI628" s="5">
        <v>0.46349206349206401</v>
      </c>
    </row>
    <row r="629" spans="14:35" x14ac:dyDescent="0.25">
      <c r="N629" t="s">
        <v>649</v>
      </c>
      <c r="O629" s="1">
        <v>46156.666666666664</v>
      </c>
      <c r="P629" t="s">
        <v>389</v>
      </c>
      <c r="Q629" t="s">
        <v>23</v>
      </c>
      <c r="R629" t="s">
        <v>29</v>
      </c>
      <c r="S629">
        <v>179</v>
      </c>
      <c r="T629" t="s">
        <v>390</v>
      </c>
      <c r="U629">
        <v>280</v>
      </c>
      <c r="V629">
        <v>110</v>
      </c>
      <c r="W629">
        <v>2.2000000000000002</v>
      </c>
      <c r="X629" t="s">
        <v>26</v>
      </c>
      <c r="Y629">
        <v>4.5</v>
      </c>
      <c r="Z629">
        <v>0.05</v>
      </c>
      <c r="AA629">
        <v>0.1</v>
      </c>
      <c r="AB629">
        <v>50120</v>
      </c>
      <c r="AC629">
        <v>45108</v>
      </c>
      <c r="AD629">
        <v>393.8</v>
      </c>
      <c r="AE629">
        <v>2255.4</v>
      </c>
      <c r="AF629">
        <v>2255</v>
      </c>
      <c r="AG629">
        <v>19690</v>
      </c>
      <c r="AH629">
        <v>20907.599999999999</v>
      </c>
      <c r="AI629" s="5">
        <v>0.463500931098696</v>
      </c>
    </row>
    <row r="630" spans="14:35" x14ac:dyDescent="0.25">
      <c r="N630" t="s">
        <v>650</v>
      </c>
      <c r="O630" s="1">
        <v>46157.25</v>
      </c>
      <c r="P630" t="s">
        <v>389</v>
      </c>
      <c r="Q630" t="s">
        <v>23</v>
      </c>
      <c r="R630" t="s">
        <v>32</v>
      </c>
      <c r="S630">
        <v>152</v>
      </c>
      <c r="T630" t="s">
        <v>390</v>
      </c>
      <c r="U630">
        <v>280</v>
      </c>
      <c r="V630">
        <v>110</v>
      </c>
      <c r="W630">
        <v>2.2000000000000002</v>
      </c>
      <c r="X630" t="s">
        <v>26</v>
      </c>
      <c r="Y630">
        <v>4.5</v>
      </c>
      <c r="Z630">
        <v>0.05</v>
      </c>
      <c r="AA630">
        <v>0.05</v>
      </c>
      <c r="AB630">
        <v>42560</v>
      </c>
      <c r="AC630">
        <v>40432</v>
      </c>
      <c r="AD630">
        <v>334.40000000000003</v>
      </c>
      <c r="AE630">
        <v>2021.6000000000001</v>
      </c>
      <c r="AF630">
        <v>2022</v>
      </c>
      <c r="AG630">
        <v>16720</v>
      </c>
      <c r="AH630">
        <v>19668.400000000001</v>
      </c>
      <c r="AI630" s="5">
        <v>0.48645627225959598</v>
      </c>
    </row>
    <row r="631" spans="14:35" x14ac:dyDescent="0.25">
      <c r="N631" t="s">
        <v>651</v>
      </c>
      <c r="O631" s="1">
        <v>46157.541666666664</v>
      </c>
      <c r="P631" t="s">
        <v>389</v>
      </c>
      <c r="Q631" t="s">
        <v>23</v>
      </c>
      <c r="R631" t="s">
        <v>29</v>
      </c>
      <c r="S631">
        <v>73</v>
      </c>
      <c r="T631" t="s">
        <v>390</v>
      </c>
      <c r="U631">
        <v>280</v>
      </c>
      <c r="V631">
        <v>110</v>
      </c>
      <c r="W631">
        <v>2.2000000000000002</v>
      </c>
      <c r="X631" t="s">
        <v>26</v>
      </c>
      <c r="Y631">
        <v>4.5</v>
      </c>
      <c r="Z631">
        <v>0.05</v>
      </c>
      <c r="AA631">
        <v>0.1</v>
      </c>
      <c r="AB631">
        <v>20440</v>
      </c>
      <c r="AC631">
        <v>18396</v>
      </c>
      <c r="AD631">
        <v>160.60000000000002</v>
      </c>
      <c r="AE631">
        <v>919.80000000000007</v>
      </c>
      <c r="AF631">
        <v>920</v>
      </c>
      <c r="AG631">
        <v>8030</v>
      </c>
      <c r="AH631">
        <v>8526.2000000000007</v>
      </c>
      <c r="AI631" s="5">
        <v>0.46348119156338302</v>
      </c>
    </row>
    <row r="632" spans="14:35" x14ac:dyDescent="0.25">
      <c r="N632" t="s">
        <v>652</v>
      </c>
      <c r="O632" s="1">
        <v>46157.625</v>
      </c>
      <c r="P632" t="s">
        <v>389</v>
      </c>
      <c r="Q632" t="s">
        <v>23</v>
      </c>
      <c r="R632" t="s">
        <v>32</v>
      </c>
      <c r="S632">
        <v>39</v>
      </c>
      <c r="T632" t="s">
        <v>390</v>
      </c>
      <c r="U632">
        <v>280</v>
      </c>
      <c r="V632">
        <v>110</v>
      </c>
      <c r="W632">
        <v>2.2000000000000002</v>
      </c>
      <c r="X632" t="s">
        <v>26</v>
      </c>
      <c r="Y632">
        <v>4.5</v>
      </c>
      <c r="Z632">
        <v>0.05</v>
      </c>
      <c r="AA632">
        <v>0.05</v>
      </c>
      <c r="AB632">
        <v>10920</v>
      </c>
      <c r="AC632">
        <v>10374</v>
      </c>
      <c r="AD632">
        <v>85.800000000000011</v>
      </c>
      <c r="AE632">
        <v>518.70000000000005</v>
      </c>
      <c r="AF632">
        <v>519</v>
      </c>
      <c r="AG632">
        <v>4290</v>
      </c>
      <c r="AH632">
        <v>5046.3</v>
      </c>
      <c r="AI632" s="5">
        <v>0.486437246963563</v>
      </c>
    </row>
    <row r="633" spans="14:35" x14ac:dyDescent="0.25">
      <c r="N633" t="s">
        <v>653</v>
      </c>
      <c r="O633" s="1">
        <v>46158.458333333336</v>
      </c>
      <c r="P633" t="s">
        <v>389</v>
      </c>
      <c r="Q633" t="s">
        <v>23</v>
      </c>
      <c r="R633" t="s">
        <v>24</v>
      </c>
      <c r="S633">
        <v>95</v>
      </c>
      <c r="T633" t="s">
        <v>390</v>
      </c>
      <c r="U633">
        <v>280</v>
      </c>
      <c r="V633">
        <v>110</v>
      </c>
      <c r="W633">
        <v>2.2000000000000002</v>
      </c>
      <c r="X633" t="s">
        <v>26</v>
      </c>
      <c r="Y633">
        <v>4.5</v>
      </c>
      <c r="Z633">
        <v>0.05</v>
      </c>
      <c r="AA633">
        <v>0.02</v>
      </c>
      <c r="AB633">
        <v>26600</v>
      </c>
      <c r="AC633">
        <v>26068</v>
      </c>
      <c r="AD633">
        <v>209.00000000000003</v>
      </c>
      <c r="AE633">
        <v>1303.4000000000001</v>
      </c>
      <c r="AF633">
        <v>1303</v>
      </c>
      <c r="AG633">
        <v>10450</v>
      </c>
      <c r="AH633">
        <v>13011.6</v>
      </c>
      <c r="AI633" s="5">
        <v>0.499140708915145</v>
      </c>
    </row>
    <row r="634" spans="14:35" x14ac:dyDescent="0.25">
      <c r="N634" t="s">
        <v>654</v>
      </c>
      <c r="O634" s="1">
        <v>46158.541666666664</v>
      </c>
      <c r="P634" t="s">
        <v>389</v>
      </c>
      <c r="Q634" t="s">
        <v>23</v>
      </c>
      <c r="R634" t="s">
        <v>29</v>
      </c>
      <c r="S634">
        <v>175</v>
      </c>
      <c r="T634" t="s">
        <v>390</v>
      </c>
      <c r="U634">
        <v>280</v>
      </c>
      <c r="V634">
        <v>110</v>
      </c>
      <c r="W634">
        <v>2.2000000000000002</v>
      </c>
      <c r="X634" t="s">
        <v>26</v>
      </c>
      <c r="Y634">
        <v>4.5</v>
      </c>
      <c r="Z634">
        <v>0.05</v>
      </c>
      <c r="AA634">
        <v>0.1</v>
      </c>
      <c r="AB634">
        <v>49000</v>
      </c>
      <c r="AC634">
        <v>44100</v>
      </c>
      <c r="AD634">
        <v>385.00000000000006</v>
      </c>
      <c r="AE634">
        <v>2205</v>
      </c>
      <c r="AF634">
        <v>2205</v>
      </c>
      <c r="AG634">
        <v>19250</v>
      </c>
      <c r="AH634">
        <v>20440</v>
      </c>
      <c r="AI634" s="5">
        <v>0.46349206349206401</v>
      </c>
    </row>
    <row r="635" spans="14:35" x14ac:dyDescent="0.25">
      <c r="N635" t="s">
        <v>655</v>
      </c>
      <c r="O635" s="1">
        <v>46158.75</v>
      </c>
      <c r="P635" t="s">
        <v>389</v>
      </c>
      <c r="Q635" t="s">
        <v>23</v>
      </c>
      <c r="R635" t="s">
        <v>29</v>
      </c>
      <c r="S635">
        <v>73</v>
      </c>
      <c r="T635" t="s">
        <v>390</v>
      </c>
      <c r="U635">
        <v>280</v>
      </c>
      <c r="V635">
        <v>110</v>
      </c>
      <c r="W635">
        <v>2.2000000000000002</v>
      </c>
      <c r="X635" t="s">
        <v>26</v>
      </c>
      <c r="Y635">
        <v>4.5</v>
      </c>
      <c r="Z635">
        <v>0.05</v>
      </c>
      <c r="AA635">
        <v>0.1</v>
      </c>
      <c r="AB635">
        <v>20440</v>
      </c>
      <c r="AC635">
        <v>18396</v>
      </c>
      <c r="AD635">
        <v>160.60000000000002</v>
      </c>
      <c r="AE635">
        <v>919.80000000000007</v>
      </c>
      <c r="AF635">
        <v>920</v>
      </c>
      <c r="AG635">
        <v>8030</v>
      </c>
      <c r="AH635">
        <v>8526.2000000000007</v>
      </c>
      <c r="AI635" s="5">
        <v>0.46348119156338302</v>
      </c>
    </row>
    <row r="636" spans="14:35" x14ac:dyDescent="0.25">
      <c r="N636" t="s">
        <v>656</v>
      </c>
      <c r="O636" s="1">
        <v>46159.208333333336</v>
      </c>
      <c r="P636" t="s">
        <v>389</v>
      </c>
      <c r="Q636" t="s">
        <v>23</v>
      </c>
      <c r="R636" t="s">
        <v>32</v>
      </c>
      <c r="S636">
        <v>189</v>
      </c>
      <c r="T636" t="s">
        <v>390</v>
      </c>
      <c r="U636">
        <v>280</v>
      </c>
      <c r="V636">
        <v>110</v>
      </c>
      <c r="W636">
        <v>2.2000000000000002</v>
      </c>
      <c r="X636" t="s">
        <v>26</v>
      </c>
      <c r="Y636">
        <v>4.5</v>
      </c>
      <c r="Z636">
        <v>0.05</v>
      </c>
      <c r="AA636">
        <v>0.05</v>
      </c>
      <c r="AB636">
        <v>52920</v>
      </c>
      <c r="AC636">
        <v>50274</v>
      </c>
      <c r="AD636">
        <v>415.8</v>
      </c>
      <c r="AE636">
        <v>2513.7000000000003</v>
      </c>
      <c r="AF636">
        <v>2514</v>
      </c>
      <c r="AG636">
        <v>20790</v>
      </c>
      <c r="AH636">
        <v>24456.3</v>
      </c>
      <c r="AI636" s="5">
        <v>0.486460198114333</v>
      </c>
    </row>
    <row r="637" spans="14:35" x14ac:dyDescent="0.25">
      <c r="N637" t="s">
        <v>657</v>
      </c>
      <c r="O637" s="1">
        <v>46159.666666666664</v>
      </c>
      <c r="P637" t="s">
        <v>389</v>
      </c>
      <c r="Q637" t="s">
        <v>23</v>
      </c>
      <c r="R637" t="s">
        <v>24</v>
      </c>
      <c r="S637">
        <v>53</v>
      </c>
      <c r="T637" t="s">
        <v>390</v>
      </c>
      <c r="U637">
        <v>280</v>
      </c>
      <c r="V637">
        <v>110</v>
      </c>
      <c r="W637">
        <v>2.2000000000000002</v>
      </c>
      <c r="X637" t="s">
        <v>26</v>
      </c>
      <c r="Y637">
        <v>4.5</v>
      </c>
      <c r="Z637">
        <v>0.05</v>
      </c>
      <c r="AA637">
        <v>0.02</v>
      </c>
      <c r="AB637">
        <v>14840</v>
      </c>
      <c r="AC637">
        <v>14543</v>
      </c>
      <c r="AD637">
        <v>116.60000000000001</v>
      </c>
      <c r="AE637">
        <v>727.15000000000009</v>
      </c>
      <c r="AF637">
        <v>727</v>
      </c>
      <c r="AG637">
        <v>5830</v>
      </c>
      <c r="AH637">
        <v>7258.85</v>
      </c>
      <c r="AI637" s="5">
        <v>0.49913016571546498</v>
      </c>
    </row>
    <row r="638" spans="14:35" x14ac:dyDescent="0.25">
      <c r="N638" t="s">
        <v>658</v>
      </c>
      <c r="O638" s="1">
        <v>46160.375</v>
      </c>
      <c r="P638" t="s">
        <v>389</v>
      </c>
      <c r="Q638" t="s">
        <v>23</v>
      </c>
      <c r="R638" t="s">
        <v>24</v>
      </c>
      <c r="S638">
        <v>192</v>
      </c>
      <c r="T638" t="s">
        <v>390</v>
      </c>
      <c r="U638">
        <v>280</v>
      </c>
      <c r="V638">
        <v>110</v>
      </c>
      <c r="W638">
        <v>2.2000000000000002</v>
      </c>
      <c r="X638" t="s">
        <v>26</v>
      </c>
      <c r="Y638">
        <v>4.5</v>
      </c>
      <c r="Z638">
        <v>0.05</v>
      </c>
      <c r="AA638">
        <v>0.02</v>
      </c>
      <c r="AB638">
        <v>53760</v>
      </c>
      <c r="AC638">
        <v>52685</v>
      </c>
      <c r="AD638">
        <v>422.40000000000003</v>
      </c>
      <c r="AE638">
        <v>2634.25</v>
      </c>
      <c r="AF638">
        <v>2634</v>
      </c>
      <c r="AG638">
        <v>21120</v>
      </c>
      <c r="AH638">
        <v>26296.75</v>
      </c>
      <c r="AI638" s="5">
        <v>0.49913163139413502</v>
      </c>
    </row>
    <row r="639" spans="14:35" x14ac:dyDescent="0.25">
      <c r="N639" t="s">
        <v>659</v>
      </c>
      <c r="O639" s="1">
        <v>46160.416666666664</v>
      </c>
      <c r="P639" t="s">
        <v>389</v>
      </c>
      <c r="Q639" t="s">
        <v>23</v>
      </c>
      <c r="R639" t="s">
        <v>24</v>
      </c>
      <c r="S639">
        <v>41</v>
      </c>
      <c r="T639" t="s">
        <v>390</v>
      </c>
      <c r="U639">
        <v>280</v>
      </c>
      <c r="V639">
        <v>110</v>
      </c>
      <c r="W639">
        <v>2.2000000000000002</v>
      </c>
      <c r="X639" t="s">
        <v>26</v>
      </c>
      <c r="Y639">
        <v>4.5</v>
      </c>
      <c r="Z639">
        <v>0.05</v>
      </c>
      <c r="AA639">
        <v>0.02</v>
      </c>
      <c r="AB639">
        <v>11480</v>
      </c>
      <c r="AC639">
        <v>11250</v>
      </c>
      <c r="AD639">
        <v>90.2</v>
      </c>
      <c r="AE639">
        <v>562.5</v>
      </c>
      <c r="AF639">
        <v>562</v>
      </c>
      <c r="AG639">
        <v>4510</v>
      </c>
      <c r="AH639">
        <v>5615.5</v>
      </c>
      <c r="AI639" s="5">
        <v>0.49915555555555602</v>
      </c>
    </row>
    <row r="640" spans="14:35" x14ac:dyDescent="0.25">
      <c r="N640" t="s">
        <v>660</v>
      </c>
      <c r="O640" s="1">
        <v>46160.708333333336</v>
      </c>
      <c r="P640" t="s">
        <v>389</v>
      </c>
      <c r="Q640" t="s">
        <v>23</v>
      </c>
      <c r="R640" t="s">
        <v>24</v>
      </c>
      <c r="S640">
        <v>84</v>
      </c>
      <c r="T640" t="s">
        <v>390</v>
      </c>
      <c r="U640">
        <v>280</v>
      </c>
      <c r="V640">
        <v>110</v>
      </c>
      <c r="W640">
        <v>2.2000000000000002</v>
      </c>
      <c r="X640" t="s">
        <v>26</v>
      </c>
      <c r="Y640">
        <v>4.5</v>
      </c>
      <c r="Z640">
        <v>0.05</v>
      </c>
      <c r="AA640">
        <v>0.02</v>
      </c>
      <c r="AB640">
        <v>23520</v>
      </c>
      <c r="AC640">
        <v>23050</v>
      </c>
      <c r="AD640">
        <v>184.8</v>
      </c>
      <c r="AE640">
        <v>1152.5</v>
      </c>
      <c r="AF640">
        <v>1152</v>
      </c>
      <c r="AG640">
        <v>9240</v>
      </c>
      <c r="AH640">
        <v>11505.5</v>
      </c>
      <c r="AI640" s="5">
        <v>0.49915401301518397</v>
      </c>
    </row>
    <row r="641" spans="14:35" x14ac:dyDescent="0.25">
      <c r="N641" t="s">
        <v>661</v>
      </c>
      <c r="O641" s="1">
        <v>46161.5</v>
      </c>
      <c r="P641" t="s">
        <v>389</v>
      </c>
      <c r="Q641" t="s">
        <v>23</v>
      </c>
      <c r="R641" t="s">
        <v>24</v>
      </c>
      <c r="S641">
        <v>48</v>
      </c>
      <c r="T641" t="s">
        <v>390</v>
      </c>
      <c r="U641">
        <v>280</v>
      </c>
      <c r="V641">
        <v>110</v>
      </c>
      <c r="W641">
        <v>2.2000000000000002</v>
      </c>
      <c r="X641" t="s">
        <v>26</v>
      </c>
      <c r="Y641">
        <v>4.5</v>
      </c>
      <c r="Z641">
        <v>0.05</v>
      </c>
      <c r="AA641">
        <v>0.02</v>
      </c>
      <c r="AB641">
        <v>13440</v>
      </c>
      <c r="AC641">
        <v>13171</v>
      </c>
      <c r="AD641">
        <v>105.60000000000001</v>
      </c>
      <c r="AE641">
        <v>658.55000000000007</v>
      </c>
      <c r="AF641">
        <v>659</v>
      </c>
      <c r="AG641">
        <v>5280</v>
      </c>
      <c r="AH641">
        <v>6573.45</v>
      </c>
      <c r="AI641" s="5">
        <v>0.49908511122921601</v>
      </c>
    </row>
    <row r="642" spans="14:35" x14ac:dyDescent="0.25">
      <c r="N642" t="s">
        <v>662</v>
      </c>
      <c r="O642" s="1">
        <v>46161.875</v>
      </c>
      <c r="P642" t="s">
        <v>389</v>
      </c>
      <c r="Q642" t="s">
        <v>23</v>
      </c>
      <c r="R642" t="s">
        <v>24</v>
      </c>
      <c r="S642">
        <v>108</v>
      </c>
      <c r="T642" t="s">
        <v>390</v>
      </c>
      <c r="U642">
        <v>280</v>
      </c>
      <c r="V642">
        <v>110</v>
      </c>
      <c r="W642">
        <v>2.2000000000000002</v>
      </c>
      <c r="X642" t="s">
        <v>26</v>
      </c>
      <c r="Y642">
        <v>4.5</v>
      </c>
      <c r="Z642">
        <v>0.05</v>
      </c>
      <c r="AA642">
        <v>0.02</v>
      </c>
      <c r="AB642">
        <v>30240</v>
      </c>
      <c r="AC642">
        <v>29635</v>
      </c>
      <c r="AD642">
        <v>237.60000000000002</v>
      </c>
      <c r="AE642">
        <v>1481.75</v>
      </c>
      <c r="AF642">
        <v>1482</v>
      </c>
      <c r="AG642">
        <v>11880</v>
      </c>
      <c r="AH642">
        <v>14791.25</v>
      </c>
      <c r="AI642" s="5">
        <v>0.49911422304707298</v>
      </c>
    </row>
    <row r="643" spans="14:35" x14ac:dyDescent="0.25">
      <c r="N643" t="s">
        <v>663</v>
      </c>
      <c r="O643" s="1">
        <v>46162.083333333336</v>
      </c>
      <c r="P643" t="s">
        <v>389</v>
      </c>
      <c r="Q643" t="s">
        <v>23</v>
      </c>
      <c r="R643" t="s">
        <v>32</v>
      </c>
      <c r="S643">
        <v>32</v>
      </c>
      <c r="T643" t="s">
        <v>390</v>
      </c>
      <c r="U643">
        <v>280</v>
      </c>
      <c r="V643">
        <v>110</v>
      </c>
      <c r="W643">
        <v>2.2000000000000002</v>
      </c>
      <c r="X643" t="s">
        <v>26</v>
      </c>
      <c r="Y643">
        <v>4.5</v>
      </c>
      <c r="Z643">
        <v>0.05</v>
      </c>
      <c r="AA643">
        <v>0.05</v>
      </c>
      <c r="AB643">
        <v>8960</v>
      </c>
      <c r="AC643">
        <v>8512</v>
      </c>
      <c r="AD643">
        <v>70.400000000000006</v>
      </c>
      <c r="AE643">
        <v>425.6</v>
      </c>
      <c r="AF643">
        <v>426</v>
      </c>
      <c r="AG643">
        <v>3520</v>
      </c>
      <c r="AH643">
        <v>4140.3999999999996</v>
      </c>
      <c r="AI643" s="5">
        <v>0.486419172932331</v>
      </c>
    </row>
    <row r="644" spans="14:35" x14ac:dyDescent="0.25">
      <c r="N644" t="s">
        <v>664</v>
      </c>
      <c r="O644" s="1">
        <v>46162.458333333336</v>
      </c>
      <c r="P644" t="s">
        <v>389</v>
      </c>
      <c r="Q644" t="s">
        <v>23</v>
      </c>
      <c r="R644" t="s">
        <v>32</v>
      </c>
      <c r="S644">
        <v>33</v>
      </c>
      <c r="T644" t="s">
        <v>390</v>
      </c>
      <c r="U644">
        <v>280</v>
      </c>
      <c r="V644">
        <v>110</v>
      </c>
      <c r="W644">
        <v>2.2000000000000002</v>
      </c>
      <c r="X644" t="s">
        <v>26</v>
      </c>
      <c r="Y644">
        <v>4.5</v>
      </c>
      <c r="Z644">
        <v>0.05</v>
      </c>
      <c r="AA644">
        <v>0.05</v>
      </c>
      <c r="AB644">
        <v>9240</v>
      </c>
      <c r="AC644">
        <v>8778</v>
      </c>
      <c r="AD644">
        <v>72.600000000000009</v>
      </c>
      <c r="AE644">
        <v>438.90000000000003</v>
      </c>
      <c r="AF644">
        <v>439</v>
      </c>
      <c r="AG644">
        <v>3630</v>
      </c>
      <c r="AH644">
        <v>4270.1000000000004</v>
      </c>
      <c r="AI644" s="5">
        <v>0.48645477329687897</v>
      </c>
    </row>
    <row r="645" spans="14:35" x14ac:dyDescent="0.25">
      <c r="N645" t="s">
        <v>665</v>
      </c>
      <c r="O645" s="1">
        <v>46162.625</v>
      </c>
      <c r="P645" t="s">
        <v>389</v>
      </c>
      <c r="Q645" t="s">
        <v>23</v>
      </c>
      <c r="R645" t="s">
        <v>32</v>
      </c>
      <c r="S645">
        <v>188</v>
      </c>
      <c r="T645" t="s">
        <v>390</v>
      </c>
      <c r="U645">
        <v>280</v>
      </c>
      <c r="V645">
        <v>110</v>
      </c>
      <c r="W645">
        <v>2.2000000000000002</v>
      </c>
      <c r="X645" t="s">
        <v>26</v>
      </c>
      <c r="Y645">
        <v>4.5</v>
      </c>
      <c r="Z645">
        <v>0.05</v>
      </c>
      <c r="AA645">
        <v>0.05</v>
      </c>
      <c r="AB645">
        <v>52640</v>
      </c>
      <c r="AC645">
        <v>50008</v>
      </c>
      <c r="AD645">
        <v>413.6</v>
      </c>
      <c r="AE645">
        <v>2500.4</v>
      </c>
      <c r="AF645">
        <v>2500</v>
      </c>
      <c r="AG645">
        <v>20680</v>
      </c>
      <c r="AH645">
        <v>24327.599999999999</v>
      </c>
      <c r="AI645" s="5">
        <v>0.48647416413373901</v>
      </c>
    </row>
    <row r="646" spans="14:35" x14ac:dyDescent="0.25">
      <c r="N646" t="s">
        <v>666</v>
      </c>
      <c r="O646" s="1">
        <v>46162.791666666664</v>
      </c>
      <c r="P646" t="s">
        <v>389</v>
      </c>
      <c r="Q646" t="s">
        <v>23</v>
      </c>
      <c r="R646" t="s">
        <v>29</v>
      </c>
      <c r="S646">
        <v>64</v>
      </c>
      <c r="T646" t="s">
        <v>390</v>
      </c>
      <c r="U646">
        <v>280</v>
      </c>
      <c r="V646">
        <v>110</v>
      </c>
      <c r="W646">
        <v>2.2000000000000002</v>
      </c>
      <c r="X646" t="s">
        <v>26</v>
      </c>
      <c r="Y646">
        <v>4.5</v>
      </c>
      <c r="Z646">
        <v>0.05</v>
      </c>
      <c r="AA646">
        <v>0.1</v>
      </c>
      <c r="AB646">
        <v>17920</v>
      </c>
      <c r="AC646">
        <v>16128</v>
      </c>
      <c r="AD646">
        <v>140.80000000000001</v>
      </c>
      <c r="AE646">
        <v>806.40000000000009</v>
      </c>
      <c r="AF646">
        <v>806</v>
      </c>
      <c r="AG646">
        <v>7040</v>
      </c>
      <c r="AH646">
        <v>7475.6</v>
      </c>
      <c r="AI646" s="5">
        <v>0.46351686507936501</v>
      </c>
    </row>
    <row r="647" spans="14:35" x14ac:dyDescent="0.25">
      <c r="N647" t="s">
        <v>667</v>
      </c>
      <c r="O647" s="1">
        <v>46162.833333333336</v>
      </c>
      <c r="P647" t="s">
        <v>389</v>
      </c>
      <c r="Q647" t="s">
        <v>23</v>
      </c>
      <c r="R647" t="s">
        <v>24</v>
      </c>
      <c r="S647">
        <v>100</v>
      </c>
      <c r="T647" t="s">
        <v>390</v>
      </c>
      <c r="U647">
        <v>280</v>
      </c>
      <c r="V647">
        <v>110</v>
      </c>
      <c r="W647">
        <v>2.2000000000000002</v>
      </c>
      <c r="X647" t="s">
        <v>26</v>
      </c>
      <c r="Y647">
        <v>4.5</v>
      </c>
      <c r="Z647">
        <v>0.05</v>
      </c>
      <c r="AA647">
        <v>0.02</v>
      </c>
      <c r="AB647">
        <v>28000</v>
      </c>
      <c r="AC647">
        <v>27440</v>
      </c>
      <c r="AD647">
        <v>220.00000000000003</v>
      </c>
      <c r="AE647">
        <v>1372</v>
      </c>
      <c r="AF647">
        <v>1372</v>
      </c>
      <c r="AG647">
        <v>11000</v>
      </c>
      <c r="AH647">
        <v>13696</v>
      </c>
      <c r="AI647" s="5">
        <v>0.49912536443148697</v>
      </c>
    </row>
    <row r="648" spans="14:35" x14ac:dyDescent="0.25">
      <c r="N648" t="s">
        <v>668</v>
      </c>
      <c r="O648" s="1">
        <v>46163.041666666664</v>
      </c>
      <c r="P648" t="s">
        <v>389</v>
      </c>
      <c r="Q648" t="s">
        <v>23</v>
      </c>
      <c r="R648" t="s">
        <v>24</v>
      </c>
      <c r="S648">
        <v>199</v>
      </c>
      <c r="T648" t="s">
        <v>390</v>
      </c>
      <c r="U648">
        <v>280</v>
      </c>
      <c r="V648">
        <v>110</v>
      </c>
      <c r="W648">
        <v>2.2000000000000002</v>
      </c>
      <c r="X648" t="s">
        <v>26</v>
      </c>
      <c r="Y648">
        <v>4.5</v>
      </c>
      <c r="Z648">
        <v>0.05</v>
      </c>
      <c r="AA648">
        <v>0.02</v>
      </c>
      <c r="AB648">
        <v>55720</v>
      </c>
      <c r="AC648">
        <v>54606</v>
      </c>
      <c r="AD648">
        <v>437.8</v>
      </c>
      <c r="AE648">
        <v>2730.3</v>
      </c>
      <c r="AF648">
        <v>2730</v>
      </c>
      <c r="AG648">
        <v>21890</v>
      </c>
      <c r="AH648">
        <v>27255.7</v>
      </c>
      <c r="AI648" s="5">
        <v>0.499133794821082</v>
      </c>
    </row>
    <row r="649" spans="14:35" x14ac:dyDescent="0.25">
      <c r="N649" t="s">
        <v>669</v>
      </c>
      <c r="O649" s="1">
        <v>46163.125</v>
      </c>
      <c r="P649" t="s">
        <v>389</v>
      </c>
      <c r="Q649" t="s">
        <v>23</v>
      </c>
      <c r="R649" t="s">
        <v>29</v>
      </c>
      <c r="S649">
        <v>60</v>
      </c>
      <c r="T649" t="s">
        <v>390</v>
      </c>
      <c r="U649">
        <v>280</v>
      </c>
      <c r="V649">
        <v>110</v>
      </c>
      <c r="W649">
        <v>2.2000000000000002</v>
      </c>
      <c r="X649" t="s">
        <v>26</v>
      </c>
      <c r="Y649">
        <v>4.5</v>
      </c>
      <c r="Z649">
        <v>0.05</v>
      </c>
      <c r="AA649">
        <v>0.1</v>
      </c>
      <c r="AB649">
        <v>16800</v>
      </c>
      <c r="AC649">
        <v>15120</v>
      </c>
      <c r="AD649">
        <v>132</v>
      </c>
      <c r="AE649">
        <v>756</v>
      </c>
      <c r="AF649">
        <v>756</v>
      </c>
      <c r="AG649">
        <v>6600</v>
      </c>
      <c r="AH649">
        <v>7008</v>
      </c>
      <c r="AI649" s="5">
        <v>0.46349206349206401</v>
      </c>
    </row>
    <row r="650" spans="14:35" x14ac:dyDescent="0.25">
      <c r="N650" t="s">
        <v>670</v>
      </c>
      <c r="O650" s="1">
        <v>46163.875</v>
      </c>
      <c r="P650" t="s">
        <v>389</v>
      </c>
      <c r="Q650" t="s">
        <v>23</v>
      </c>
      <c r="R650" t="s">
        <v>29</v>
      </c>
      <c r="S650">
        <v>92</v>
      </c>
      <c r="T650" t="s">
        <v>390</v>
      </c>
      <c r="U650">
        <v>280</v>
      </c>
      <c r="V650">
        <v>110</v>
      </c>
      <c r="W650">
        <v>2.2000000000000002</v>
      </c>
      <c r="X650" t="s">
        <v>26</v>
      </c>
      <c r="Y650">
        <v>4.5</v>
      </c>
      <c r="Z650">
        <v>0.05</v>
      </c>
      <c r="AA650">
        <v>0.1</v>
      </c>
      <c r="AB650">
        <v>25760</v>
      </c>
      <c r="AC650">
        <v>23184</v>
      </c>
      <c r="AD650">
        <v>202.4</v>
      </c>
      <c r="AE650">
        <v>1159.2</v>
      </c>
      <c r="AF650">
        <v>1159</v>
      </c>
      <c r="AG650">
        <v>10120</v>
      </c>
      <c r="AH650">
        <v>10745.8</v>
      </c>
      <c r="AI650" s="5">
        <v>0.46350069013112499</v>
      </c>
    </row>
    <row r="651" spans="14:35" x14ac:dyDescent="0.25">
      <c r="N651" t="s">
        <v>671</v>
      </c>
      <c r="O651" s="1">
        <v>46164.25</v>
      </c>
      <c r="P651" t="s">
        <v>389</v>
      </c>
      <c r="Q651" t="s">
        <v>23</v>
      </c>
      <c r="R651" t="s">
        <v>29</v>
      </c>
      <c r="S651">
        <v>124</v>
      </c>
      <c r="T651" t="s">
        <v>390</v>
      </c>
      <c r="U651">
        <v>280</v>
      </c>
      <c r="V651">
        <v>110</v>
      </c>
      <c r="W651">
        <v>2.2000000000000002</v>
      </c>
      <c r="X651" t="s">
        <v>26</v>
      </c>
      <c r="Y651">
        <v>4.5</v>
      </c>
      <c r="Z651">
        <v>0.05</v>
      </c>
      <c r="AA651">
        <v>0.1</v>
      </c>
      <c r="AB651">
        <v>34720</v>
      </c>
      <c r="AC651">
        <v>31248</v>
      </c>
      <c r="AD651">
        <v>272.8</v>
      </c>
      <c r="AE651">
        <v>1562.4</v>
      </c>
      <c r="AF651">
        <v>1562</v>
      </c>
      <c r="AG651">
        <v>13640</v>
      </c>
      <c r="AH651">
        <v>14483.599999999999</v>
      </c>
      <c r="AI651" s="5">
        <v>0.46350486431131599</v>
      </c>
    </row>
    <row r="652" spans="14:35" x14ac:dyDescent="0.25">
      <c r="N652" t="s">
        <v>672</v>
      </c>
      <c r="O652" s="1">
        <v>46164.375</v>
      </c>
      <c r="P652" t="s">
        <v>389</v>
      </c>
      <c r="Q652" t="s">
        <v>23</v>
      </c>
      <c r="R652" t="s">
        <v>24</v>
      </c>
      <c r="S652">
        <v>57</v>
      </c>
      <c r="T652" t="s">
        <v>390</v>
      </c>
      <c r="U652">
        <v>280</v>
      </c>
      <c r="V652">
        <v>110</v>
      </c>
      <c r="W652">
        <v>2.2000000000000002</v>
      </c>
      <c r="X652" t="s">
        <v>26</v>
      </c>
      <c r="Y652">
        <v>4.5</v>
      </c>
      <c r="Z652">
        <v>0.05</v>
      </c>
      <c r="AA652">
        <v>0.02</v>
      </c>
      <c r="AB652">
        <v>15960</v>
      </c>
      <c r="AC652">
        <v>15641</v>
      </c>
      <c r="AD652">
        <v>125.4</v>
      </c>
      <c r="AE652">
        <v>782.05000000000007</v>
      </c>
      <c r="AF652">
        <v>782</v>
      </c>
      <c r="AG652">
        <v>6270</v>
      </c>
      <c r="AH652">
        <v>7806.95</v>
      </c>
      <c r="AI652" s="5">
        <v>0.49913368710440498</v>
      </c>
    </row>
    <row r="653" spans="14:35" x14ac:dyDescent="0.25">
      <c r="N653" t="s">
        <v>673</v>
      </c>
      <c r="O653" s="1">
        <v>46165.375</v>
      </c>
      <c r="P653" t="s">
        <v>389</v>
      </c>
      <c r="Q653" t="s">
        <v>23</v>
      </c>
      <c r="R653" t="s">
        <v>29</v>
      </c>
      <c r="S653">
        <v>30</v>
      </c>
      <c r="T653" t="s">
        <v>390</v>
      </c>
      <c r="U653">
        <v>280</v>
      </c>
      <c r="V653">
        <v>110</v>
      </c>
      <c r="W653">
        <v>2.2000000000000002</v>
      </c>
      <c r="X653" t="s">
        <v>26</v>
      </c>
      <c r="Y653">
        <v>4.5</v>
      </c>
      <c r="Z653">
        <v>0.05</v>
      </c>
      <c r="AA653">
        <v>0.1</v>
      </c>
      <c r="AB653">
        <v>8400</v>
      </c>
      <c r="AC653">
        <v>7560</v>
      </c>
      <c r="AD653">
        <v>66</v>
      </c>
      <c r="AE653">
        <v>378</v>
      </c>
      <c r="AF653">
        <v>378</v>
      </c>
      <c r="AG653">
        <v>3300</v>
      </c>
      <c r="AH653">
        <v>3504</v>
      </c>
      <c r="AI653" s="5">
        <v>0.46349206349206401</v>
      </c>
    </row>
    <row r="654" spans="14:35" x14ac:dyDescent="0.25">
      <c r="N654" t="s">
        <v>674</v>
      </c>
      <c r="O654" s="1">
        <v>46165.666666666664</v>
      </c>
      <c r="P654" t="s">
        <v>389</v>
      </c>
      <c r="Q654" t="s">
        <v>23</v>
      </c>
      <c r="R654" t="s">
        <v>29</v>
      </c>
      <c r="S654">
        <v>107</v>
      </c>
      <c r="T654" t="s">
        <v>390</v>
      </c>
      <c r="U654">
        <v>280</v>
      </c>
      <c r="V654">
        <v>110</v>
      </c>
      <c r="W654">
        <v>2.2000000000000002</v>
      </c>
      <c r="X654" t="s">
        <v>26</v>
      </c>
      <c r="Y654">
        <v>4.5</v>
      </c>
      <c r="Z654">
        <v>0.05</v>
      </c>
      <c r="AA654">
        <v>0.1</v>
      </c>
      <c r="AB654">
        <v>29960</v>
      </c>
      <c r="AC654">
        <v>26964</v>
      </c>
      <c r="AD654">
        <v>235.4</v>
      </c>
      <c r="AE654">
        <v>1348.2</v>
      </c>
      <c r="AF654">
        <v>1348</v>
      </c>
      <c r="AG654">
        <v>11770</v>
      </c>
      <c r="AH654">
        <v>12497.8</v>
      </c>
      <c r="AI654" s="5">
        <v>0.4634994807892</v>
      </c>
    </row>
    <row r="655" spans="14:35" x14ac:dyDescent="0.25">
      <c r="N655" t="s">
        <v>675</v>
      </c>
      <c r="O655" s="1">
        <v>46166.75</v>
      </c>
      <c r="P655" t="s">
        <v>389</v>
      </c>
      <c r="Q655" t="s">
        <v>23</v>
      </c>
      <c r="R655" t="s">
        <v>32</v>
      </c>
      <c r="S655">
        <v>10</v>
      </c>
      <c r="T655" t="s">
        <v>390</v>
      </c>
      <c r="U655">
        <v>280</v>
      </c>
      <c r="V655">
        <v>110</v>
      </c>
      <c r="W655">
        <v>2.2000000000000002</v>
      </c>
      <c r="X655" t="s">
        <v>26</v>
      </c>
      <c r="Y655">
        <v>4.5</v>
      </c>
      <c r="Z655">
        <v>0.05</v>
      </c>
      <c r="AA655">
        <v>0.05</v>
      </c>
      <c r="AB655">
        <v>2800</v>
      </c>
      <c r="AC655">
        <v>2660</v>
      </c>
      <c r="AD655">
        <v>22</v>
      </c>
      <c r="AE655">
        <v>133</v>
      </c>
      <c r="AF655">
        <v>133</v>
      </c>
      <c r="AG655">
        <v>1100</v>
      </c>
      <c r="AH655">
        <v>1294</v>
      </c>
      <c r="AI655" s="5">
        <v>0.48646616541353399</v>
      </c>
    </row>
    <row r="656" spans="14:35" x14ac:dyDescent="0.25">
      <c r="N656" t="s">
        <v>676</v>
      </c>
      <c r="O656" s="1">
        <v>46167.041666666664</v>
      </c>
      <c r="P656" t="s">
        <v>389</v>
      </c>
      <c r="Q656" t="s">
        <v>23</v>
      </c>
      <c r="R656" t="s">
        <v>24</v>
      </c>
      <c r="S656">
        <v>177</v>
      </c>
      <c r="T656" t="s">
        <v>390</v>
      </c>
      <c r="U656">
        <v>280</v>
      </c>
      <c r="V656">
        <v>110</v>
      </c>
      <c r="W656">
        <v>2.2000000000000002</v>
      </c>
      <c r="X656" t="s">
        <v>26</v>
      </c>
      <c r="Y656">
        <v>4.5</v>
      </c>
      <c r="Z656">
        <v>0.05</v>
      </c>
      <c r="AA656">
        <v>0.02</v>
      </c>
      <c r="AB656">
        <v>49560</v>
      </c>
      <c r="AC656">
        <v>48569</v>
      </c>
      <c r="AD656">
        <v>389.40000000000003</v>
      </c>
      <c r="AE656">
        <v>2428.4500000000003</v>
      </c>
      <c r="AF656">
        <v>2428</v>
      </c>
      <c r="AG656">
        <v>19470</v>
      </c>
      <c r="AH656">
        <v>24242.55</v>
      </c>
      <c r="AI656" s="5">
        <v>0.499136280343429</v>
      </c>
    </row>
    <row r="657" spans="14:35" x14ac:dyDescent="0.25">
      <c r="N657" t="s">
        <v>677</v>
      </c>
      <c r="O657" s="1">
        <v>46167.208333333336</v>
      </c>
      <c r="P657" t="s">
        <v>389</v>
      </c>
      <c r="Q657" t="s">
        <v>23</v>
      </c>
      <c r="R657" t="s">
        <v>24</v>
      </c>
      <c r="S657">
        <v>22</v>
      </c>
      <c r="T657" t="s">
        <v>390</v>
      </c>
      <c r="U657">
        <v>280</v>
      </c>
      <c r="V657">
        <v>110</v>
      </c>
      <c r="W657">
        <v>2.2000000000000002</v>
      </c>
      <c r="X657" t="s">
        <v>26</v>
      </c>
      <c r="Y657">
        <v>4.5</v>
      </c>
      <c r="Z657">
        <v>0.05</v>
      </c>
      <c r="AA657">
        <v>0.02</v>
      </c>
      <c r="AB657">
        <v>6160</v>
      </c>
      <c r="AC657">
        <v>6037</v>
      </c>
      <c r="AD657">
        <v>48.400000000000006</v>
      </c>
      <c r="AE657">
        <v>301.85000000000002</v>
      </c>
      <c r="AF657">
        <v>302</v>
      </c>
      <c r="AG657">
        <v>2420</v>
      </c>
      <c r="AH657">
        <v>3013.15</v>
      </c>
      <c r="AI657" s="5">
        <v>0.49911379824416102</v>
      </c>
    </row>
    <row r="658" spans="14:35" x14ac:dyDescent="0.25">
      <c r="N658" t="s">
        <v>678</v>
      </c>
      <c r="O658" s="1">
        <v>46167.416666666664</v>
      </c>
      <c r="P658" t="s">
        <v>389</v>
      </c>
      <c r="Q658" t="s">
        <v>23</v>
      </c>
      <c r="R658" t="s">
        <v>29</v>
      </c>
      <c r="S658">
        <v>155</v>
      </c>
      <c r="T658" t="s">
        <v>390</v>
      </c>
      <c r="U658">
        <v>280</v>
      </c>
      <c r="V658">
        <v>110</v>
      </c>
      <c r="W658">
        <v>2.2000000000000002</v>
      </c>
      <c r="X658" t="s">
        <v>26</v>
      </c>
      <c r="Y658">
        <v>4.5</v>
      </c>
      <c r="Z658">
        <v>0.05</v>
      </c>
      <c r="AA658">
        <v>0.1</v>
      </c>
      <c r="AB658">
        <v>43400</v>
      </c>
      <c r="AC658">
        <v>39060</v>
      </c>
      <c r="AD658">
        <v>341</v>
      </c>
      <c r="AE658">
        <v>1953</v>
      </c>
      <c r="AF658">
        <v>1953</v>
      </c>
      <c r="AG658">
        <v>17050</v>
      </c>
      <c r="AH658">
        <v>18104</v>
      </c>
      <c r="AI658" s="5">
        <v>0.46349206349206401</v>
      </c>
    </row>
    <row r="659" spans="14:35" x14ac:dyDescent="0.25">
      <c r="N659" t="s">
        <v>679</v>
      </c>
      <c r="O659" s="1">
        <v>46168.5</v>
      </c>
      <c r="P659" t="s">
        <v>389</v>
      </c>
      <c r="Q659" t="s">
        <v>23</v>
      </c>
      <c r="R659" t="s">
        <v>24</v>
      </c>
      <c r="S659">
        <v>12</v>
      </c>
      <c r="T659" t="s">
        <v>390</v>
      </c>
      <c r="U659">
        <v>280</v>
      </c>
      <c r="V659">
        <v>110</v>
      </c>
      <c r="W659">
        <v>2.2000000000000002</v>
      </c>
      <c r="X659" t="s">
        <v>26</v>
      </c>
      <c r="Y659">
        <v>4.5</v>
      </c>
      <c r="Z659">
        <v>0.05</v>
      </c>
      <c r="AA659">
        <v>0.02</v>
      </c>
      <c r="AB659">
        <v>3360</v>
      </c>
      <c r="AC659">
        <v>3293</v>
      </c>
      <c r="AD659">
        <v>26.400000000000002</v>
      </c>
      <c r="AE659">
        <v>164.65</v>
      </c>
      <c r="AF659">
        <v>165</v>
      </c>
      <c r="AG659">
        <v>1320</v>
      </c>
      <c r="AH659">
        <v>1643.35</v>
      </c>
      <c r="AI659" s="5">
        <v>0.49904342544792002</v>
      </c>
    </row>
    <row r="660" spans="14:35" x14ac:dyDescent="0.25">
      <c r="N660" t="s">
        <v>680</v>
      </c>
      <c r="O660" s="1">
        <v>46168.541666666664</v>
      </c>
      <c r="P660" t="s">
        <v>389</v>
      </c>
      <c r="Q660" t="s">
        <v>23</v>
      </c>
      <c r="R660" t="s">
        <v>24</v>
      </c>
      <c r="S660">
        <v>166</v>
      </c>
      <c r="T660" t="s">
        <v>390</v>
      </c>
      <c r="U660">
        <v>280</v>
      </c>
      <c r="V660">
        <v>110</v>
      </c>
      <c r="W660">
        <v>2.2000000000000002</v>
      </c>
      <c r="X660" t="s">
        <v>26</v>
      </c>
      <c r="Y660">
        <v>4.5</v>
      </c>
      <c r="Z660">
        <v>0.05</v>
      </c>
      <c r="AA660">
        <v>0.02</v>
      </c>
      <c r="AB660">
        <v>46480</v>
      </c>
      <c r="AC660">
        <v>45550</v>
      </c>
      <c r="AD660">
        <v>365.20000000000005</v>
      </c>
      <c r="AE660">
        <v>2277.5</v>
      </c>
      <c r="AF660">
        <v>2278</v>
      </c>
      <c r="AG660">
        <v>18260</v>
      </c>
      <c r="AH660">
        <v>22734.5</v>
      </c>
      <c r="AI660" s="5">
        <v>0.499110867178924</v>
      </c>
    </row>
    <row r="661" spans="14:35" x14ac:dyDescent="0.25">
      <c r="N661" t="s">
        <v>681</v>
      </c>
      <c r="O661" s="1">
        <v>46168.833333333336</v>
      </c>
      <c r="P661" t="s">
        <v>389</v>
      </c>
      <c r="Q661" t="s">
        <v>23</v>
      </c>
      <c r="R661" t="s">
        <v>29</v>
      </c>
      <c r="S661">
        <v>116</v>
      </c>
      <c r="T661" t="s">
        <v>390</v>
      </c>
      <c r="U661">
        <v>280</v>
      </c>
      <c r="V661">
        <v>110</v>
      </c>
      <c r="W661">
        <v>2.2000000000000002</v>
      </c>
      <c r="X661" t="s">
        <v>26</v>
      </c>
      <c r="Y661">
        <v>4.5</v>
      </c>
      <c r="Z661">
        <v>0.05</v>
      </c>
      <c r="AA661">
        <v>0.1</v>
      </c>
      <c r="AB661">
        <v>32480</v>
      </c>
      <c r="AC661">
        <v>29232</v>
      </c>
      <c r="AD661">
        <v>255.20000000000002</v>
      </c>
      <c r="AE661">
        <v>1461.6000000000001</v>
      </c>
      <c r="AF661">
        <v>1462</v>
      </c>
      <c r="AG661">
        <v>12760</v>
      </c>
      <c r="AH661">
        <v>13548.4</v>
      </c>
      <c r="AI661" s="5">
        <v>0.46347837985769003</v>
      </c>
    </row>
    <row r="662" spans="14:35" x14ac:dyDescent="0.25">
      <c r="N662" t="s">
        <v>682</v>
      </c>
      <c r="O662" s="1">
        <v>46169.083333333336</v>
      </c>
      <c r="P662" t="s">
        <v>389</v>
      </c>
      <c r="Q662" t="s">
        <v>23</v>
      </c>
      <c r="R662" t="s">
        <v>29</v>
      </c>
      <c r="S662">
        <v>165</v>
      </c>
      <c r="T662" t="s">
        <v>390</v>
      </c>
      <c r="U662">
        <v>280</v>
      </c>
      <c r="V662">
        <v>110</v>
      </c>
      <c r="W662">
        <v>2.2000000000000002</v>
      </c>
      <c r="X662" t="s">
        <v>26</v>
      </c>
      <c r="Y662">
        <v>4.5</v>
      </c>
      <c r="Z662">
        <v>0.05</v>
      </c>
      <c r="AA662">
        <v>0.1</v>
      </c>
      <c r="AB662">
        <v>46200</v>
      </c>
      <c r="AC662">
        <v>41580</v>
      </c>
      <c r="AD662">
        <v>363.00000000000006</v>
      </c>
      <c r="AE662">
        <v>2079</v>
      </c>
      <c r="AF662">
        <v>2079</v>
      </c>
      <c r="AG662">
        <v>18150</v>
      </c>
      <c r="AH662">
        <v>19272</v>
      </c>
      <c r="AI662" s="5">
        <v>0.46349206349206401</v>
      </c>
    </row>
    <row r="663" spans="14:35" x14ac:dyDescent="0.25">
      <c r="N663" t="s">
        <v>683</v>
      </c>
      <c r="O663" s="1">
        <v>46169.416666666664</v>
      </c>
      <c r="P663" t="s">
        <v>389</v>
      </c>
      <c r="Q663" t="s">
        <v>23</v>
      </c>
      <c r="R663" t="s">
        <v>32</v>
      </c>
      <c r="S663">
        <v>111</v>
      </c>
      <c r="T663" t="s">
        <v>390</v>
      </c>
      <c r="U663">
        <v>280</v>
      </c>
      <c r="V663">
        <v>110</v>
      </c>
      <c r="W663">
        <v>2.2000000000000002</v>
      </c>
      <c r="X663" t="s">
        <v>26</v>
      </c>
      <c r="Y663">
        <v>4.5</v>
      </c>
      <c r="Z663">
        <v>0.05</v>
      </c>
      <c r="AA663">
        <v>0.05</v>
      </c>
      <c r="AB663">
        <v>31080</v>
      </c>
      <c r="AC663">
        <v>29526</v>
      </c>
      <c r="AD663">
        <v>244.20000000000002</v>
      </c>
      <c r="AE663">
        <v>1476.3000000000002</v>
      </c>
      <c r="AF663">
        <v>1476</v>
      </c>
      <c r="AG663">
        <v>12210</v>
      </c>
      <c r="AH663">
        <v>14363.7</v>
      </c>
      <c r="AI663" s="5">
        <v>0.48647632595001</v>
      </c>
    </row>
    <row r="664" spans="14:35" x14ac:dyDescent="0.25">
      <c r="N664" t="s">
        <v>684</v>
      </c>
      <c r="O664" s="1">
        <v>46169.666666666664</v>
      </c>
      <c r="P664" t="s">
        <v>389</v>
      </c>
      <c r="Q664" t="s">
        <v>23</v>
      </c>
      <c r="R664" t="s">
        <v>24</v>
      </c>
      <c r="S664">
        <v>38</v>
      </c>
      <c r="T664" t="s">
        <v>390</v>
      </c>
      <c r="U664">
        <v>280</v>
      </c>
      <c r="V664">
        <v>110</v>
      </c>
      <c r="W664">
        <v>2.2000000000000002</v>
      </c>
      <c r="X664" t="s">
        <v>26</v>
      </c>
      <c r="Y664">
        <v>4.5</v>
      </c>
      <c r="Z664">
        <v>0.05</v>
      </c>
      <c r="AA664">
        <v>0.02</v>
      </c>
      <c r="AB664">
        <v>10640</v>
      </c>
      <c r="AC664">
        <v>10427</v>
      </c>
      <c r="AD664">
        <v>83.600000000000009</v>
      </c>
      <c r="AE664">
        <v>521.35</v>
      </c>
      <c r="AF664">
        <v>521</v>
      </c>
      <c r="AG664">
        <v>4180</v>
      </c>
      <c r="AH664">
        <v>5204.6499999999996</v>
      </c>
      <c r="AI664" s="5">
        <v>0.49915124196796801</v>
      </c>
    </row>
    <row r="665" spans="14:35" x14ac:dyDescent="0.25">
      <c r="N665" t="s">
        <v>685</v>
      </c>
      <c r="O665" s="1">
        <v>46170</v>
      </c>
      <c r="P665" t="s">
        <v>389</v>
      </c>
      <c r="Q665" t="s">
        <v>23</v>
      </c>
      <c r="R665" t="s">
        <v>24</v>
      </c>
      <c r="S665">
        <v>188</v>
      </c>
      <c r="T665" t="s">
        <v>390</v>
      </c>
      <c r="U665">
        <v>280</v>
      </c>
      <c r="V665">
        <v>110</v>
      </c>
      <c r="W665">
        <v>2.2000000000000002</v>
      </c>
      <c r="X665" t="s">
        <v>26</v>
      </c>
      <c r="Y665">
        <v>4.5</v>
      </c>
      <c r="Z665">
        <v>0.05</v>
      </c>
      <c r="AA665">
        <v>0.02</v>
      </c>
      <c r="AB665">
        <v>52640</v>
      </c>
      <c r="AC665">
        <v>51587</v>
      </c>
      <c r="AD665">
        <v>413.6</v>
      </c>
      <c r="AE665">
        <v>2579.3500000000004</v>
      </c>
      <c r="AF665">
        <v>2579</v>
      </c>
      <c r="AG665">
        <v>20680</v>
      </c>
      <c r="AH665">
        <v>25748.65</v>
      </c>
      <c r="AI665" s="5">
        <v>0.49913059491732398</v>
      </c>
    </row>
    <row r="666" spans="14:35" x14ac:dyDescent="0.25">
      <c r="N666" t="s">
        <v>686</v>
      </c>
      <c r="O666" s="1">
        <v>46170.375</v>
      </c>
      <c r="P666" t="s">
        <v>389</v>
      </c>
      <c r="Q666" t="s">
        <v>23</v>
      </c>
      <c r="R666" t="s">
        <v>32</v>
      </c>
      <c r="S666">
        <v>116</v>
      </c>
      <c r="T666" t="s">
        <v>390</v>
      </c>
      <c r="U666">
        <v>280</v>
      </c>
      <c r="V666">
        <v>110</v>
      </c>
      <c r="W666">
        <v>2.2000000000000002</v>
      </c>
      <c r="X666" t="s">
        <v>26</v>
      </c>
      <c r="Y666">
        <v>4.5</v>
      </c>
      <c r="Z666">
        <v>0.05</v>
      </c>
      <c r="AA666">
        <v>0.05</v>
      </c>
      <c r="AB666">
        <v>32480</v>
      </c>
      <c r="AC666">
        <v>30856</v>
      </c>
      <c r="AD666">
        <v>255.20000000000002</v>
      </c>
      <c r="AE666">
        <v>1542.8000000000002</v>
      </c>
      <c r="AF666">
        <v>1543</v>
      </c>
      <c r="AG666">
        <v>12760</v>
      </c>
      <c r="AH666">
        <v>15010.2</v>
      </c>
      <c r="AI666" s="5">
        <v>0.486459683691989</v>
      </c>
    </row>
    <row r="667" spans="14:35" x14ac:dyDescent="0.25">
      <c r="N667" t="s">
        <v>687</v>
      </c>
      <c r="O667" s="1">
        <v>46170.583333333336</v>
      </c>
      <c r="P667" t="s">
        <v>389</v>
      </c>
      <c r="Q667" t="s">
        <v>23</v>
      </c>
      <c r="R667" t="s">
        <v>32</v>
      </c>
      <c r="S667">
        <v>46</v>
      </c>
      <c r="T667" t="s">
        <v>390</v>
      </c>
      <c r="U667">
        <v>280</v>
      </c>
      <c r="V667">
        <v>110</v>
      </c>
      <c r="W667">
        <v>2.2000000000000002</v>
      </c>
      <c r="X667" t="s">
        <v>26</v>
      </c>
      <c r="Y667">
        <v>4.5</v>
      </c>
      <c r="Z667">
        <v>0.05</v>
      </c>
      <c r="AA667">
        <v>0.05</v>
      </c>
      <c r="AB667">
        <v>12880</v>
      </c>
      <c r="AC667">
        <v>12236</v>
      </c>
      <c r="AD667">
        <v>101.2</v>
      </c>
      <c r="AE667">
        <v>611.80000000000007</v>
      </c>
      <c r="AF667">
        <v>612</v>
      </c>
      <c r="AG667">
        <v>5060</v>
      </c>
      <c r="AH667">
        <v>5952.2</v>
      </c>
      <c r="AI667" s="5">
        <v>0.48644982020268102</v>
      </c>
    </row>
    <row r="668" spans="14:35" x14ac:dyDescent="0.25">
      <c r="N668" t="s">
        <v>688</v>
      </c>
      <c r="O668" s="1">
        <v>46170.833333333336</v>
      </c>
      <c r="P668" t="s">
        <v>389</v>
      </c>
      <c r="Q668" t="s">
        <v>23</v>
      </c>
      <c r="R668" t="s">
        <v>32</v>
      </c>
      <c r="S668">
        <v>90</v>
      </c>
      <c r="T668" t="s">
        <v>390</v>
      </c>
      <c r="U668">
        <v>280</v>
      </c>
      <c r="V668">
        <v>110</v>
      </c>
      <c r="W668">
        <v>2.2000000000000002</v>
      </c>
      <c r="X668" t="s">
        <v>26</v>
      </c>
      <c r="Y668">
        <v>4.5</v>
      </c>
      <c r="Z668">
        <v>0.05</v>
      </c>
      <c r="AA668">
        <v>0.05</v>
      </c>
      <c r="AB668">
        <v>25200</v>
      </c>
      <c r="AC668">
        <v>23940</v>
      </c>
      <c r="AD668">
        <v>198.00000000000003</v>
      </c>
      <c r="AE668">
        <v>1197</v>
      </c>
      <c r="AF668">
        <v>1197</v>
      </c>
      <c r="AG668">
        <v>9900</v>
      </c>
      <c r="AH668">
        <v>11646</v>
      </c>
      <c r="AI668" s="5">
        <v>0.48646616541353399</v>
      </c>
    </row>
    <row r="669" spans="14:35" x14ac:dyDescent="0.25">
      <c r="N669" t="s">
        <v>689</v>
      </c>
      <c r="O669" s="1">
        <v>46170.875</v>
      </c>
      <c r="P669" t="s">
        <v>389</v>
      </c>
      <c r="Q669" t="s">
        <v>23</v>
      </c>
      <c r="R669" t="s">
        <v>32</v>
      </c>
      <c r="S669">
        <v>138</v>
      </c>
      <c r="T669" t="s">
        <v>390</v>
      </c>
      <c r="U669">
        <v>280</v>
      </c>
      <c r="V669">
        <v>110</v>
      </c>
      <c r="W669">
        <v>2.2000000000000002</v>
      </c>
      <c r="X669" t="s">
        <v>26</v>
      </c>
      <c r="Y669">
        <v>4.5</v>
      </c>
      <c r="Z669">
        <v>0.05</v>
      </c>
      <c r="AA669">
        <v>0.05</v>
      </c>
      <c r="AB669">
        <v>38640</v>
      </c>
      <c r="AC669">
        <v>36708</v>
      </c>
      <c r="AD669">
        <v>303.60000000000002</v>
      </c>
      <c r="AE669">
        <v>1835.4</v>
      </c>
      <c r="AF669">
        <v>1835</v>
      </c>
      <c r="AG669">
        <v>15180</v>
      </c>
      <c r="AH669">
        <v>17857.599999999999</v>
      </c>
      <c r="AI669" s="5">
        <v>0.48647706222076897</v>
      </c>
    </row>
    <row r="670" spans="14:35" x14ac:dyDescent="0.25">
      <c r="N670" t="s">
        <v>690</v>
      </c>
      <c r="O670" s="1">
        <v>46171.166666666664</v>
      </c>
      <c r="P670" t="s">
        <v>389</v>
      </c>
      <c r="Q670" t="s">
        <v>23</v>
      </c>
      <c r="R670" t="s">
        <v>24</v>
      </c>
      <c r="S670">
        <v>45</v>
      </c>
      <c r="T670" t="s">
        <v>390</v>
      </c>
      <c r="U670">
        <v>280</v>
      </c>
      <c r="V670">
        <v>110</v>
      </c>
      <c r="W670">
        <v>2.2000000000000002</v>
      </c>
      <c r="X670" t="s">
        <v>26</v>
      </c>
      <c r="Y670">
        <v>4.5</v>
      </c>
      <c r="Z670">
        <v>0.05</v>
      </c>
      <c r="AA670">
        <v>0.02</v>
      </c>
      <c r="AB670">
        <v>12600</v>
      </c>
      <c r="AC670">
        <v>12348</v>
      </c>
      <c r="AD670">
        <v>99.000000000000014</v>
      </c>
      <c r="AE670">
        <v>617.40000000000009</v>
      </c>
      <c r="AF670">
        <v>617</v>
      </c>
      <c r="AG670">
        <v>4950</v>
      </c>
      <c r="AH670">
        <v>6163.6</v>
      </c>
      <c r="AI670" s="5">
        <v>0.499157758341432</v>
      </c>
    </row>
    <row r="671" spans="14:35" x14ac:dyDescent="0.25">
      <c r="N671" t="s">
        <v>691</v>
      </c>
      <c r="O671" s="1">
        <v>46171.375</v>
      </c>
      <c r="P671" t="s">
        <v>389</v>
      </c>
      <c r="Q671" t="s">
        <v>23</v>
      </c>
      <c r="R671" t="s">
        <v>24</v>
      </c>
      <c r="S671">
        <v>155</v>
      </c>
      <c r="T671" t="s">
        <v>390</v>
      </c>
      <c r="U671">
        <v>280</v>
      </c>
      <c r="V671">
        <v>110</v>
      </c>
      <c r="W671">
        <v>2.2000000000000002</v>
      </c>
      <c r="X671" t="s">
        <v>26</v>
      </c>
      <c r="Y671">
        <v>4.5</v>
      </c>
      <c r="Z671">
        <v>0.05</v>
      </c>
      <c r="AA671">
        <v>0.02</v>
      </c>
      <c r="AB671">
        <v>43400</v>
      </c>
      <c r="AC671">
        <v>42532</v>
      </c>
      <c r="AD671">
        <v>341</v>
      </c>
      <c r="AE671">
        <v>2126.6</v>
      </c>
      <c r="AF671">
        <v>2127</v>
      </c>
      <c r="AG671">
        <v>17050</v>
      </c>
      <c r="AH671">
        <v>21228.400000000001</v>
      </c>
      <c r="AI671" s="5">
        <v>0.49911595974795397</v>
      </c>
    </row>
    <row r="672" spans="14:35" x14ac:dyDescent="0.25">
      <c r="N672" t="s">
        <v>692</v>
      </c>
      <c r="O672" s="1">
        <v>46171.5</v>
      </c>
      <c r="P672" t="s">
        <v>389</v>
      </c>
      <c r="Q672" t="s">
        <v>23</v>
      </c>
      <c r="R672" t="s">
        <v>29</v>
      </c>
      <c r="S672">
        <v>162</v>
      </c>
      <c r="T672" t="s">
        <v>390</v>
      </c>
      <c r="U672">
        <v>280</v>
      </c>
      <c r="V672">
        <v>110</v>
      </c>
      <c r="W672">
        <v>2.2000000000000002</v>
      </c>
      <c r="X672" t="s">
        <v>26</v>
      </c>
      <c r="Y672">
        <v>4.5</v>
      </c>
      <c r="Z672">
        <v>0.05</v>
      </c>
      <c r="AA672">
        <v>0.1</v>
      </c>
      <c r="AB672">
        <v>45360</v>
      </c>
      <c r="AC672">
        <v>40824</v>
      </c>
      <c r="AD672">
        <v>356.40000000000003</v>
      </c>
      <c r="AE672">
        <v>2041.2</v>
      </c>
      <c r="AF672">
        <v>2041</v>
      </c>
      <c r="AG672">
        <v>17820</v>
      </c>
      <c r="AH672">
        <v>18921.8</v>
      </c>
      <c r="AI672" s="5">
        <v>0.46349696257103701</v>
      </c>
    </row>
    <row r="673" spans="14:35" x14ac:dyDescent="0.25">
      <c r="N673" t="s">
        <v>693</v>
      </c>
      <c r="O673" s="1">
        <v>46171.791666666664</v>
      </c>
      <c r="P673" t="s">
        <v>389</v>
      </c>
      <c r="Q673" t="s">
        <v>23</v>
      </c>
      <c r="R673" t="s">
        <v>29</v>
      </c>
      <c r="S673">
        <v>177</v>
      </c>
      <c r="T673" t="s">
        <v>390</v>
      </c>
      <c r="U673">
        <v>280</v>
      </c>
      <c r="V673">
        <v>110</v>
      </c>
      <c r="W673">
        <v>2.2000000000000002</v>
      </c>
      <c r="X673" t="s">
        <v>26</v>
      </c>
      <c r="Y673">
        <v>4.5</v>
      </c>
      <c r="Z673">
        <v>0.05</v>
      </c>
      <c r="AA673">
        <v>0.1</v>
      </c>
      <c r="AB673">
        <v>49560</v>
      </c>
      <c r="AC673">
        <v>44604</v>
      </c>
      <c r="AD673">
        <v>389.40000000000003</v>
      </c>
      <c r="AE673">
        <v>2230.2000000000003</v>
      </c>
      <c r="AF673">
        <v>2230</v>
      </c>
      <c r="AG673">
        <v>19470</v>
      </c>
      <c r="AH673">
        <v>20673.8</v>
      </c>
      <c r="AI673" s="5">
        <v>0.46349654739485202</v>
      </c>
    </row>
    <row r="674" spans="14:35" x14ac:dyDescent="0.25">
      <c r="N674" t="s">
        <v>694</v>
      </c>
      <c r="O674" s="1">
        <v>46171.916666666664</v>
      </c>
      <c r="P674" t="s">
        <v>389</v>
      </c>
      <c r="Q674" t="s">
        <v>23</v>
      </c>
      <c r="R674" t="s">
        <v>29</v>
      </c>
      <c r="S674">
        <v>145</v>
      </c>
      <c r="T674" t="s">
        <v>390</v>
      </c>
      <c r="U674">
        <v>280</v>
      </c>
      <c r="V674">
        <v>110</v>
      </c>
      <c r="W674">
        <v>2.2000000000000002</v>
      </c>
      <c r="X674" t="s">
        <v>26</v>
      </c>
      <c r="Y674">
        <v>4.5</v>
      </c>
      <c r="Z674">
        <v>0.05</v>
      </c>
      <c r="AA674">
        <v>0.1</v>
      </c>
      <c r="AB674">
        <v>40600</v>
      </c>
      <c r="AC674">
        <v>36540</v>
      </c>
      <c r="AD674">
        <v>319</v>
      </c>
      <c r="AE674">
        <v>1827</v>
      </c>
      <c r="AF674">
        <v>1827</v>
      </c>
      <c r="AG674">
        <v>15950</v>
      </c>
      <c r="AH674">
        <v>16936</v>
      </c>
      <c r="AI674" s="5">
        <v>0.46349206349206401</v>
      </c>
    </row>
    <row r="675" spans="14:35" x14ac:dyDescent="0.25">
      <c r="N675" t="s">
        <v>695</v>
      </c>
      <c r="O675" s="1">
        <v>46172.291666666664</v>
      </c>
      <c r="P675" t="s">
        <v>389</v>
      </c>
      <c r="Q675" t="s">
        <v>23</v>
      </c>
      <c r="R675" t="s">
        <v>24</v>
      </c>
      <c r="S675">
        <v>19</v>
      </c>
      <c r="T675" t="s">
        <v>390</v>
      </c>
      <c r="U675">
        <v>280</v>
      </c>
      <c r="V675">
        <v>110</v>
      </c>
      <c r="W675">
        <v>2.2000000000000002</v>
      </c>
      <c r="X675" t="s">
        <v>26</v>
      </c>
      <c r="Y675">
        <v>4.5</v>
      </c>
      <c r="Z675">
        <v>0.05</v>
      </c>
      <c r="AA675">
        <v>0.02</v>
      </c>
      <c r="AB675">
        <v>5320</v>
      </c>
      <c r="AC675">
        <v>5214</v>
      </c>
      <c r="AD675">
        <v>41.800000000000004</v>
      </c>
      <c r="AE675">
        <v>260.7</v>
      </c>
      <c r="AF675">
        <v>261</v>
      </c>
      <c r="AG675">
        <v>2090</v>
      </c>
      <c r="AH675">
        <v>2602.3000000000002</v>
      </c>
      <c r="AI675" s="5">
        <v>0.49909858074414998</v>
      </c>
    </row>
    <row r="676" spans="14:35" x14ac:dyDescent="0.25">
      <c r="N676" t="s">
        <v>696</v>
      </c>
      <c r="O676" s="1">
        <v>46172.541666666664</v>
      </c>
      <c r="P676" t="s">
        <v>389</v>
      </c>
      <c r="Q676" t="s">
        <v>23</v>
      </c>
      <c r="R676" t="s">
        <v>32</v>
      </c>
      <c r="S676">
        <v>27</v>
      </c>
      <c r="T676" t="s">
        <v>390</v>
      </c>
      <c r="U676">
        <v>280</v>
      </c>
      <c r="V676">
        <v>110</v>
      </c>
      <c r="W676">
        <v>2.2000000000000002</v>
      </c>
      <c r="X676" t="s">
        <v>26</v>
      </c>
      <c r="Y676">
        <v>4.5</v>
      </c>
      <c r="Z676">
        <v>0.05</v>
      </c>
      <c r="AA676">
        <v>0.05</v>
      </c>
      <c r="AB676">
        <v>7560</v>
      </c>
      <c r="AC676">
        <v>7182</v>
      </c>
      <c r="AD676">
        <v>59.400000000000006</v>
      </c>
      <c r="AE676">
        <v>359.1</v>
      </c>
      <c r="AF676">
        <v>359</v>
      </c>
      <c r="AG676">
        <v>2970</v>
      </c>
      <c r="AH676">
        <v>3493.9</v>
      </c>
      <c r="AI676" s="5">
        <v>0.48648008911166801</v>
      </c>
    </row>
    <row r="677" spans="14:35" x14ac:dyDescent="0.25">
      <c r="N677" t="s">
        <v>697</v>
      </c>
      <c r="O677" s="1">
        <v>46172.583333333336</v>
      </c>
      <c r="P677" t="s">
        <v>389</v>
      </c>
      <c r="Q677" t="s">
        <v>23</v>
      </c>
      <c r="R677" t="s">
        <v>24</v>
      </c>
      <c r="S677">
        <v>192</v>
      </c>
      <c r="T677" t="s">
        <v>390</v>
      </c>
      <c r="U677">
        <v>280</v>
      </c>
      <c r="V677">
        <v>110</v>
      </c>
      <c r="W677">
        <v>2.2000000000000002</v>
      </c>
      <c r="X677" t="s">
        <v>26</v>
      </c>
      <c r="Y677">
        <v>4.5</v>
      </c>
      <c r="Z677">
        <v>0.05</v>
      </c>
      <c r="AA677">
        <v>0.02</v>
      </c>
      <c r="AB677">
        <v>53760</v>
      </c>
      <c r="AC677">
        <v>52685</v>
      </c>
      <c r="AD677">
        <v>422.40000000000003</v>
      </c>
      <c r="AE677">
        <v>2634.25</v>
      </c>
      <c r="AF677">
        <v>2634</v>
      </c>
      <c r="AG677">
        <v>21120</v>
      </c>
      <c r="AH677">
        <v>26296.75</v>
      </c>
      <c r="AI677" s="5">
        <v>0.49913163139413502</v>
      </c>
    </row>
    <row r="678" spans="14:35" x14ac:dyDescent="0.25">
      <c r="N678" t="s">
        <v>698</v>
      </c>
      <c r="O678" s="1">
        <v>46173.083333333336</v>
      </c>
      <c r="P678" t="s">
        <v>389</v>
      </c>
      <c r="Q678" t="s">
        <v>23</v>
      </c>
      <c r="R678" t="s">
        <v>24</v>
      </c>
      <c r="S678">
        <v>56</v>
      </c>
      <c r="T678" t="s">
        <v>390</v>
      </c>
      <c r="U678">
        <v>280</v>
      </c>
      <c r="V678">
        <v>110</v>
      </c>
      <c r="W678">
        <v>2.2000000000000002</v>
      </c>
      <c r="X678" t="s">
        <v>26</v>
      </c>
      <c r="Y678">
        <v>4.5</v>
      </c>
      <c r="Z678">
        <v>0.05</v>
      </c>
      <c r="AA678">
        <v>0.02</v>
      </c>
      <c r="AB678">
        <v>15680</v>
      </c>
      <c r="AC678">
        <v>15366</v>
      </c>
      <c r="AD678">
        <v>123.20000000000002</v>
      </c>
      <c r="AE678">
        <v>768.30000000000007</v>
      </c>
      <c r="AF678">
        <v>768</v>
      </c>
      <c r="AG678">
        <v>6160</v>
      </c>
      <c r="AH678">
        <v>7669.7</v>
      </c>
      <c r="AI678" s="5">
        <v>0.49913445268775197</v>
      </c>
    </row>
    <row r="679" spans="14:35" x14ac:dyDescent="0.25">
      <c r="N679" t="s">
        <v>699</v>
      </c>
      <c r="O679" s="1">
        <v>46173.541666666664</v>
      </c>
      <c r="P679" t="s">
        <v>389</v>
      </c>
      <c r="Q679" t="s">
        <v>23</v>
      </c>
      <c r="R679" t="s">
        <v>24</v>
      </c>
      <c r="S679">
        <v>129</v>
      </c>
      <c r="T679" t="s">
        <v>390</v>
      </c>
      <c r="U679">
        <v>280</v>
      </c>
      <c r="V679">
        <v>110</v>
      </c>
      <c r="W679">
        <v>2.2000000000000002</v>
      </c>
      <c r="X679" t="s">
        <v>26</v>
      </c>
      <c r="Y679">
        <v>4.5</v>
      </c>
      <c r="Z679">
        <v>0.05</v>
      </c>
      <c r="AA679">
        <v>0.02</v>
      </c>
      <c r="AB679">
        <v>36120</v>
      </c>
      <c r="AC679">
        <v>35398</v>
      </c>
      <c r="AD679">
        <v>283.8</v>
      </c>
      <c r="AE679">
        <v>1769.9</v>
      </c>
      <c r="AF679">
        <v>1770</v>
      </c>
      <c r="AG679">
        <v>14190</v>
      </c>
      <c r="AH679">
        <v>17668.099999999999</v>
      </c>
      <c r="AI679" s="5">
        <v>0.49912706932595102</v>
      </c>
    </row>
    <row r="680" spans="14:35" x14ac:dyDescent="0.25">
      <c r="N680" t="s">
        <v>700</v>
      </c>
      <c r="O680" s="1">
        <v>46173.666666666664</v>
      </c>
      <c r="P680" t="s">
        <v>389</v>
      </c>
      <c r="Q680" t="s">
        <v>23</v>
      </c>
      <c r="R680" t="s">
        <v>29</v>
      </c>
      <c r="S680">
        <v>156</v>
      </c>
      <c r="T680" t="s">
        <v>390</v>
      </c>
      <c r="U680">
        <v>280</v>
      </c>
      <c r="V680">
        <v>110</v>
      </c>
      <c r="W680">
        <v>2.2000000000000002</v>
      </c>
      <c r="X680" t="s">
        <v>26</v>
      </c>
      <c r="Y680">
        <v>4.5</v>
      </c>
      <c r="Z680">
        <v>0.05</v>
      </c>
      <c r="AA680">
        <v>0.1</v>
      </c>
      <c r="AB680">
        <v>43680</v>
      </c>
      <c r="AC680">
        <v>39312</v>
      </c>
      <c r="AD680">
        <v>343.20000000000005</v>
      </c>
      <c r="AE680">
        <v>1965.6000000000001</v>
      </c>
      <c r="AF680">
        <v>1966</v>
      </c>
      <c r="AG680">
        <v>17160</v>
      </c>
      <c r="AH680">
        <v>18220.400000000001</v>
      </c>
      <c r="AI680" s="5">
        <v>0.46348188848188898</v>
      </c>
    </row>
    <row r="681" spans="14:35" x14ac:dyDescent="0.25">
      <c r="N681" t="s">
        <v>701</v>
      </c>
      <c r="O681" s="1">
        <v>46174.25</v>
      </c>
      <c r="P681" t="s">
        <v>389</v>
      </c>
      <c r="Q681" t="s">
        <v>23</v>
      </c>
      <c r="R681" t="s">
        <v>32</v>
      </c>
      <c r="S681">
        <v>122</v>
      </c>
      <c r="T681" t="s">
        <v>390</v>
      </c>
      <c r="U681">
        <v>280</v>
      </c>
      <c r="V681">
        <v>110</v>
      </c>
      <c r="W681">
        <v>2.2000000000000002</v>
      </c>
      <c r="X681" t="s">
        <v>26</v>
      </c>
      <c r="Y681">
        <v>4.5</v>
      </c>
      <c r="Z681">
        <v>0.05</v>
      </c>
      <c r="AA681">
        <v>0.05</v>
      </c>
      <c r="AB681">
        <v>34160</v>
      </c>
      <c r="AC681">
        <v>32452</v>
      </c>
      <c r="AD681">
        <v>268.40000000000003</v>
      </c>
      <c r="AE681">
        <v>1622.6000000000001</v>
      </c>
      <c r="AF681">
        <v>1623</v>
      </c>
      <c r="AG681">
        <v>13420</v>
      </c>
      <c r="AH681">
        <v>15786.400000000001</v>
      </c>
      <c r="AI681" s="5">
        <v>0.48645383951682503</v>
      </c>
    </row>
    <row r="682" spans="14:35" x14ac:dyDescent="0.25">
      <c r="N682" t="s">
        <v>702</v>
      </c>
      <c r="O682" s="1">
        <v>46174.75</v>
      </c>
      <c r="P682" t="s">
        <v>389</v>
      </c>
      <c r="Q682" t="s">
        <v>23</v>
      </c>
      <c r="R682" t="s">
        <v>32</v>
      </c>
      <c r="S682">
        <v>44</v>
      </c>
      <c r="T682" t="s">
        <v>390</v>
      </c>
      <c r="U682">
        <v>280</v>
      </c>
      <c r="V682">
        <v>110</v>
      </c>
      <c r="W682">
        <v>2.2000000000000002</v>
      </c>
      <c r="X682" t="s">
        <v>26</v>
      </c>
      <c r="Y682">
        <v>4.5</v>
      </c>
      <c r="Z682">
        <v>0.05</v>
      </c>
      <c r="AA682">
        <v>0.05</v>
      </c>
      <c r="AB682">
        <v>12320</v>
      </c>
      <c r="AC682">
        <v>11704</v>
      </c>
      <c r="AD682">
        <v>96.800000000000011</v>
      </c>
      <c r="AE682">
        <v>585.20000000000005</v>
      </c>
      <c r="AF682">
        <v>585</v>
      </c>
      <c r="AG682">
        <v>4840</v>
      </c>
      <c r="AH682">
        <v>5693.8</v>
      </c>
      <c r="AI682" s="5">
        <v>0.48648325358851702</v>
      </c>
    </row>
    <row r="683" spans="14:35" x14ac:dyDescent="0.25">
      <c r="N683" t="s">
        <v>703</v>
      </c>
      <c r="O683" s="1">
        <v>46175.375</v>
      </c>
      <c r="P683" t="s">
        <v>389</v>
      </c>
      <c r="Q683" t="s">
        <v>23</v>
      </c>
      <c r="R683" t="s">
        <v>29</v>
      </c>
      <c r="S683">
        <v>17</v>
      </c>
      <c r="T683" t="s">
        <v>390</v>
      </c>
      <c r="U683">
        <v>280</v>
      </c>
      <c r="V683">
        <v>110</v>
      </c>
      <c r="W683">
        <v>2.2000000000000002</v>
      </c>
      <c r="X683" t="s">
        <v>26</v>
      </c>
      <c r="Y683">
        <v>4.5</v>
      </c>
      <c r="Z683">
        <v>0.05</v>
      </c>
      <c r="AA683">
        <v>0.1</v>
      </c>
      <c r="AB683">
        <v>4760</v>
      </c>
      <c r="AC683">
        <v>4284</v>
      </c>
      <c r="AD683">
        <v>37.400000000000006</v>
      </c>
      <c r="AE683">
        <v>214.20000000000002</v>
      </c>
      <c r="AF683">
        <v>214</v>
      </c>
      <c r="AG683">
        <v>1870</v>
      </c>
      <c r="AH683">
        <v>1985.8000000000002</v>
      </c>
      <c r="AI683" s="5">
        <v>0.463538748832866</v>
      </c>
    </row>
    <row r="684" spans="14:35" x14ac:dyDescent="0.25">
      <c r="N684" t="s">
        <v>704</v>
      </c>
      <c r="O684" s="1">
        <v>46175.875</v>
      </c>
      <c r="P684" t="s">
        <v>389</v>
      </c>
      <c r="Q684" t="s">
        <v>23</v>
      </c>
      <c r="R684" t="s">
        <v>24</v>
      </c>
      <c r="S684">
        <v>123</v>
      </c>
      <c r="T684" t="s">
        <v>390</v>
      </c>
      <c r="U684">
        <v>280</v>
      </c>
      <c r="V684">
        <v>110</v>
      </c>
      <c r="W684">
        <v>2.2000000000000002</v>
      </c>
      <c r="X684" t="s">
        <v>26</v>
      </c>
      <c r="Y684">
        <v>4.5</v>
      </c>
      <c r="Z684">
        <v>0.05</v>
      </c>
      <c r="AA684">
        <v>0.02</v>
      </c>
      <c r="AB684">
        <v>34440</v>
      </c>
      <c r="AC684">
        <v>33751</v>
      </c>
      <c r="AD684">
        <v>270.60000000000002</v>
      </c>
      <c r="AE684">
        <v>1687.5500000000002</v>
      </c>
      <c r="AF684">
        <v>1688</v>
      </c>
      <c r="AG684">
        <v>13530</v>
      </c>
      <c r="AH684">
        <v>16845.45</v>
      </c>
      <c r="AI684" s="5">
        <v>0.49910965601019203</v>
      </c>
    </row>
    <row r="685" spans="14:35" x14ac:dyDescent="0.25">
      <c r="N685" t="s">
        <v>705</v>
      </c>
      <c r="O685" s="1">
        <v>46176.166666666664</v>
      </c>
      <c r="P685" t="s">
        <v>389</v>
      </c>
      <c r="Q685" t="s">
        <v>23</v>
      </c>
      <c r="R685" t="s">
        <v>32</v>
      </c>
      <c r="S685">
        <v>64</v>
      </c>
      <c r="T685" t="s">
        <v>390</v>
      </c>
      <c r="U685">
        <v>280</v>
      </c>
      <c r="V685">
        <v>110</v>
      </c>
      <c r="W685">
        <v>2.2000000000000002</v>
      </c>
      <c r="X685" t="s">
        <v>26</v>
      </c>
      <c r="Y685">
        <v>4.5</v>
      </c>
      <c r="Z685">
        <v>0.05</v>
      </c>
      <c r="AA685">
        <v>0.05</v>
      </c>
      <c r="AB685">
        <v>17920</v>
      </c>
      <c r="AC685">
        <v>17024</v>
      </c>
      <c r="AD685">
        <v>140.80000000000001</v>
      </c>
      <c r="AE685">
        <v>851.2</v>
      </c>
      <c r="AF685">
        <v>851</v>
      </c>
      <c r="AG685">
        <v>7040</v>
      </c>
      <c r="AH685">
        <v>8281.7999999999993</v>
      </c>
      <c r="AI685" s="5">
        <v>0.48647791353383402</v>
      </c>
    </row>
    <row r="686" spans="14:35" x14ac:dyDescent="0.25">
      <c r="N686" t="s">
        <v>706</v>
      </c>
      <c r="O686" s="1">
        <v>46176.25</v>
      </c>
      <c r="P686" t="s">
        <v>389</v>
      </c>
      <c r="Q686" t="s">
        <v>23</v>
      </c>
      <c r="R686" t="s">
        <v>29</v>
      </c>
      <c r="S686">
        <v>64</v>
      </c>
      <c r="T686" t="s">
        <v>390</v>
      </c>
      <c r="U686">
        <v>280</v>
      </c>
      <c r="V686">
        <v>110</v>
      </c>
      <c r="W686">
        <v>2.2000000000000002</v>
      </c>
      <c r="X686" t="s">
        <v>26</v>
      </c>
      <c r="Y686">
        <v>4.5</v>
      </c>
      <c r="Z686">
        <v>0.05</v>
      </c>
      <c r="AA686">
        <v>0.1</v>
      </c>
      <c r="AB686">
        <v>17920</v>
      </c>
      <c r="AC686">
        <v>16128</v>
      </c>
      <c r="AD686">
        <v>140.80000000000001</v>
      </c>
      <c r="AE686">
        <v>806.40000000000009</v>
      </c>
      <c r="AF686">
        <v>806</v>
      </c>
      <c r="AG686">
        <v>7040</v>
      </c>
      <c r="AH686">
        <v>7475.6</v>
      </c>
      <c r="AI686" s="5">
        <v>0.46351686507936501</v>
      </c>
    </row>
    <row r="687" spans="14:35" x14ac:dyDescent="0.25">
      <c r="N687" t="s">
        <v>707</v>
      </c>
      <c r="O687" s="1">
        <v>46176.333333333336</v>
      </c>
      <c r="P687" t="s">
        <v>389</v>
      </c>
      <c r="Q687" t="s">
        <v>23</v>
      </c>
      <c r="R687" t="s">
        <v>24</v>
      </c>
      <c r="S687">
        <v>199</v>
      </c>
      <c r="T687" t="s">
        <v>390</v>
      </c>
      <c r="U687">
        <v>280</v>
      </c>
      <c r="V687">
        <v>110</v>
      </c>
      <c r="W687">
        <v>2.2000000000000002</v>
      </c>
      <c r="X687" t="s">
        <v>26</v>
      </c>
      <c r="Y687">
        <v>4.5</v>
      </c>
      <c r="Z687">
        <v>0.05</v>
      </c>
      <c r="AA687">
        <v>0.02</v>
      </c>
      <c r="AB687">
        <v>55720</v>
      </c>
      <c r="AC687">
        <v>54606</v>
      </c>
      <c r="AD687">
        <v>437.8</v>
      </c>
      <c r="AE687">
        <v>2730.3</v>
      </c>
      <c r="AF687">
        <v>2730</v>
      </c>
      <c r="AG687">
        <v>21890</v>
      </c>
      <c r="AH687">
        <v>27255.7</v>
      </c>
      <c r="AI687" s="5">
        <v>0.499133794821082</v>
      </c>
    </row>
    <row r="688" spans="14:35" x14ac:dyDescent="0.25">
      <c r="N688" t="s">
        <v>708</v>
      </c>
      <c r="O688" s="1">
        <v>46176.666666666664</v>
      </c>
      <c r="P688" t="s">
        <v>389</v>
      </c>
      <c r="Q688" t="s">
        <v>23</v>
      </c>
      <c r="R688" t="s">
        <v>32</v>
      </c>
      <c r="S688">
        <v>183</v>
      </c>
      <c r="T688" t="s">
        <v>390</v>
      </c>
      <c r="U688">
        <v>280</v>
      </c>
      <c r="V688">
        <v>110</v>
      </c>
      <c r="W688">
        <v>2.2000000000000002</v>
      </c>
      <c r="X688" t="s">
        <v>26</v>
      </c>
      <c r="Y688">
        <v>4.5</v>
      </c>
      <c r="Z688">
        <v>0.05</v>
      </c>
      <c r="AA688">
        <v>0.05</v>
      </c>
      <c r="AB688">
        <v>51240</v>
      </c>
      <c r="AC688">
        <v>48678</v>
      </c>
      <c r="AD688">
        <v>402.6</v>
      </c>
      <c r="AE688">
        <v>2433.9</v>
      </c>
      <c r="AF688">
        <v>2434</v>
      </c>
      <c r="AG688">
        <v>20130</v>
      </c>
      <c r="AH688">
        <v>23680.1</v>
      </c>
      <c r="AI688" s="5">
        <v>0.486464111097416</v>
      </c>
    </row>
    <row r="689" spans="14:35" x14ac:dyDescent="0.25">
      <c r="N689" t="s">
        <v>709</v>
      </c>
      <c r="O689" s="1">
        <v>46176.791666666664</v>
      </c>
      <c r="P689" t="s">
        <v>389</v>
      </c>
      <c r="Q689" t="s">
        <v>23</v>
      </c>
      <c r="R689" t="s">
        <v>32</v>
      </c>
      <c r="S689">
        <v>16</v>
      </c>
      <c r="T689" t="s">
        <v>390</v>
      </c>
      <c r="U689">
        <v>280</v>
      </c>
      <c r="V689">
        <v>110</v>
      </c>
      <c r="W689">
        <v>2.2000000000000002</v>
      </c>
      <c r="X689" t="s">
        <v>26</v>
      </c>
      <c r="Y689">
        <v>4.5</v>
      </c>
      <c r="Z689">
        <v>0.05</v>
      </c>
      <c r="AA689">
        <v>0.05</v>
      </c>
      <c r="AB689">
        <v>4480</v>
      </c>
      <c r="AC689">
        <v>4256</v>
      </c>
      <c r="AD689">
        <v>35.200000000000003</v>
      </c>
      <c r="AE689">
        <v>212.8</v>
      </c>
      <c r="AF689">
        <v>213</v>
      </c>
      <c r="AG689">
        <v>1760</v>
      </c>
      <c r="AH689">
        <v>2070.1999999999998</v>
      </c>
      <c r="AI689" s="5">
        <v>0.486419172932331</v>
      </c>
    </row>
    <row r="690" spans="14:35" x14ac:dyDescent="0.25">
      <c r="N690" t="s">
        <v>710</v>
      </c>
      <c r="O690" s="1">
        <v>46176.875</v>
      </c>
      <c r="P690" t="s">
        <v>389</v>
      </c>
      <c r="Q690" t="s">
        <v>23</v>
      </c>
      <c r="R690" t="s">
        <v>24</v>
      </c>
      <c r="S690">
        <v>24</v>
      </c>
      <c r="T690" t="s">
        <v>390</v>
      </c>
      <c r="U690">
        <v>280</v>
      </c>
      <c r="V690">
        <v>110</v>
      </c>
      <c r="W690">
        <v>2.2000000000000002</v>
      </c>
      <c r="X690" t="s">
        <v>26</v>
      </c>
      <c r="Y690">
        <v>4.5</v>
      </c>
      <c r="Z690">
        <v>0.05</v>
      </c>
      <c r="AA690">
        <v>0.02</v>
      </c>
      <c r="AB690">
        <v>6720</v>
      </c>
      <c r="AC690">
        <v>6586</v>
      </c>
      <c r="AD690">
        <v>52.800000000000004</v>
      </c>
      <c r="AE690">
        <v>329.3</v>
      </c>
      <c r="AF690">
        <v>329</v>
      </c>
      <c r="AG690">
        <v>2640</v>
      </c>
      <c r="AH690">
        <v>3287.7</v>
      </c>
      <c r="AI690" s="5">
        <v>0.49919526267840902</v>
      </c>
    </row>
    <row r="691" spans="14:35" x14ac:dyDescent="0.25">
      <c r="N691" t="s">
        <v>711</v>
      </c>
      <c r="O691" s="1">
        <v>46176.958333333336</v>
      </c>
      <c r="P691" t="s">
        <v>389</v>
      </c>
      <c r="Q691" t="s">
        <v>23</v>
      </c>
      <c r="R691" t="s">
        <v>29</v>
      </c>
      <c r="S691">
        <v>11</v>
      </c>
      <c r="T691" t="s">
        <v>390</v>
      </c>
      <c r="U691">
        <v>280</v>
      </c>
      <c r="V691">
        <v>110</v>
      </c>
      <c r="W691">
        <v>2.2000000000000002</v>
      </c>
      <c r="X691" t="s">
        <v>26</v>
      </c>
      <c r="Y691">
        <v>4.5</v>
      </c>
      <c r="Z691">
        <v>0.05</v>
      </c>
      <c r="AA691">
        <v>0.1</v>
      </c>
      <c r="AB691">
        <v>3080</v>
      </c>
      <c r="AC691">
        <v>2772</v>
      </c>
      <c r="AD691">
        <v>24.200000000000003</v>
      </c>
      <c r="AE691">
        <v>138.6</v>
      </c>
      <c r="AF691">
        <v>139</v>
      </c>
      <c r="AG691">
        <v>1210</v>
      </c>
      <c r="AH691">
        <v>1284.4000000000001</v>
      </c>
      <c r="AI691" s="5">
        <v>0.46334776334776301</v>
      </c>
    </row>
    <row r="692" spans="14:35" x14ac:dyDescent="0.25">
      <c r="N692" t="s">
        <v>712</v>
      </c>
      <c r="O692" s="1">
        <v>46177.458333333336</v>
      </c>
      <c r="P692" t="s">
        <v>389</v>
      </c>
      <c r="Q692" t="s">
        <v>23</v>
      </c>
      <c r="R692" t="s">
        <v>32</v>
      </c>
      <c r="S692">
        <v>105</v>
      </c>
      <c r="T692" t="s">
        <v>390</v>
      </c>
      <c r="U692">
        <v>280</v>
      </c>
      <c r="V692">
        <v>110</v>
      </c>
      <c r="W692">
        <v>2.2000000000000002</v>
      </c>
      <c r="X692" t="s">
        <v>26</v>
      </c>
      <c r="Y692">
        <v>4.5</v>
      </c>
      <c r="Z692">
        <v>0.05</v>
      </c>
      <c r="AA692">
        <v>0.05</v>
      </c>
      <c r="AB692">
        <v>29400</v>
      </c>
      <c r="AC692">
        <v>27930</v>
      </c>
      <c r="AD692">
        <v>231.00000000000003</v>
      </c>
      <c r="AE692">
        <v>1396.5</v>
      </c>
      <c r="AF692">
        <v>1396</v>
      </c>
      <c r="AG692">
        <v>11550</v>
      </c>
      <c r="AH692">
        <v>13587.5</v>
      </c>
      <c r="AI692" s="5">
        <v>0.48648406731113503</v>
      </c>
    </row>
    <row r="693" spans="14:35" x14ac:dyDescent="0.25">
      <c r="N693" t="s">
        <v>713</v>
      </c>
      <c r="O693" s="1">
        <v>46177.75</v>
      </c>
      <c r="P693" t="s">
        <v>389</v>
      </c>
      <c r="Q693" t="s">
        <v>23</v>
      </c>
      <c r="R693" t="s">
        <v>24</v>
      </c>
      <c r="S693">
        <v>136</v>
      </c>
      <c r="T693" t="s">
        <v>390</v>
      </c>
      <c r="U693">
        <v>280</v>
      </c>
      <c r="V693">
        <v>110</v>
      </c>
      <c r="W693">
        <v>2.2000000000000002</v>
      </c>
      <c r="X693" t="s">
        <v>26</v>
      </c>
      <c r="Y693">
        <v>4.5</v>
      </c>
      <c r="Z693">
        <v>0.05</v>
      </c>
      <c r="AA693">
        <v>0.02</v>
      </c>
      <c r="AB693">
        <v>38080</v>
      </c>
      <c r="AC693">
        <v>37318</v>
      </c>
      <c r="AD693">
        <v>299.20000000000005</v>
      </c>
      <c r="AE693">
        <v>1865.9</v>
      </c>
      <c r="AF693">
        <v>1866</v>
      </c>
      <c r="AG693">
        <v>14960</v>
      </c>
      <c r="AH693">
        <v>18626.099999999999</v>
      </c>
      <c r="AI693" s="5">
        <v>0.49911838790932</v>
      </c>
    </row>
    <row r="694" spans="14:35" x14ac:dyDescent="0.25">
      <c r="N694" t="s">
        <v>714</v>
      </c>
      <c r="O694" s="1">
        <v>46177.833333333336</v>
      </c>
      <c r="P694" t="s">
        <v>389</v>
      </c>
      <c r="Q694" t="s">
        <v>23</v>
      </c>
      <c r="R694" t="s">
        <v>29</v>
      </c>
      <c r="S694">
        <v>45</v>
      </c>
      <c r="T694" t="s">
        <v>390</v>
      </c>
      <c r="U694">
        <v>280</v>
      </c>
      <c r="V694">
        <v>110</v>
      </c>
      <c r="W694">
        <v>2.2000000000000002</v>
      </c>
      <c r="X694" t="s">
        <v>26</v>
      </c>
      <c r="Y694">
        <v>4.5</v>
      </c>
      <c r="Z694">
        <v>0.05</v>
      </c>
      <c r="AA694">
        <v>0.1</v>
      </c>
      <c r="AB694">
        <v>12600</v>
      </c>
      <c r="AC694">
        <v>11340</v>
      </c>
      <c r="AD694">
        <v>99.000000000000014</v>
      </c>
      <c r="AE694">
        <v>567</v>
      </c>
      <c r="AF694">
        <v>567</v>
      </c>
      <c r="AG694">
        <v>4950</v>
      </c>
      <c r="AH694">
        <v>5256</v>
      </c>
      <c r="AI694" s="5">
        <v>0.46349206349206401</v>
      </c>
    </row>
    <row r="695" spans="14:35" x14ac:dyDescent="0.25">
      <c r="N695" t="s">
        <v>715</v>
      </c>
      <c r="O695" s="1">
        <v>46177.875</v>
      </c>
      <c r="P695" t="s">
        <v>389</v>
      </c>
      <c r="Q695" t="s">
        <v>23</v>
      </c>
      <c r="R695" t="s">
        <v>24</v>
      </c>
      <c r="S695">
        <v>54</v>
      </c>
      <c r="T695" t="s">
        <v>390</v>
      </c>
      <c r="U695">
        <v>280</v>
      </c>
      <c r="V695">
        <v>110</v>
      </c>
      <c r="W695">
        <v>2.2000000000000002</v>
      </c>
      <c r="X695" t="s">
        <v>26</v>
      </c>
      <c r="Y695">
        <v>4.5</v>
      </c>
      <c r="Z695">
        <v>0.05</v>
      </c>
      <c r="AA695">
        <v>0.02</v>
      </c>
      <c r="AB695">
        <v>15120</v>
      </c>
      <c r="AC695">
        <v>14818</v>
      </c>
      <c r="AD695">
        <v>118.80000000000001</v>
      </c>
      <c r="AE695">
        <v>740.90000000000009</v>
      </c>
      <c r="AF695">
        <v>741</v>
      </c>
      <c r="AG695">
        <v>5940</v>
      </c>
      <c r="AH695">
        <v>7396.1</v>
      </c>
      <c r="AI695" s="5">
        <v>0.49912943717100799</v>
      </c>
    </row>
    <row r="696" spans="14:35" x14ac:dyDescent="0.25">
      <c r="N696" t="s">
        <v>716</v>
      </c>
      <c r="O696" s="1">
        <v>46178</v>
      </c>
      <c r="P696" t="s">
        <v>389</v>
      </c>
      <c r="Q696" t="s">
        <v>23</v>
      </c>
      <c r="R696" t="s">
        <v>32</v>
      </c>
      <c r="S696">
        <v>103</v>
      </c>
      <c r="T696" t="s">
        <v>390</v>
      </c>
      <c r="U696">
        <v>280</v>
      </c>
      <c r="V696">
        <v>110</v>
      </c>
      <c r="W696">
        <v>2.2000000000000002</v>
      </c>
      <c r="X696" t="s">
        <v>26</v>
      </c>
      <c r="Y696">
        <v>4.5</v>
      </c>
      <c r="Z696">
        <v>0.05</v>
      </c>
      <c r="AA696">
        <v>0.05</v>
      </c>
      <c r="AB696">
        <v>28840</v>
      </c>
      <c r="AC696">
        <v>27398</v>
      </c>
      <c r="AD696">
        <v>226.60000000000002</v>
      </c>
      <c r="AE696">
        <v>1369.9</v>
      </c>
      <c r="AF696">
        <v>1370</v>
      </c>
      <c r="AG696">
        <v>11330</v>
      </c>
      <c r="AH696">
        <v>13328.1</v>
      </c>
      <c r="AI696" s="5">
        <v>0.48646251551208097</v>
      </c>
    </row>
    <row r="697" spans="14:35" x14ac:dyDescent="0.25">
      <c r="N697" t="s">
        <v>717</v>
      </c>
      <c r="O697" s="1">
        <v>46178.291666666664</v>
      </c>
      <c r="P697" t="s">
        <v>389</v>
      </c>
      <c r="Q697" t="s">
        <v>23</v>
      </c>
      <c r="R697" t="s">
        <v>24</v>
      </c>
      <c r="S697">
        <v>185</v>
      </c>
      <c r="T697" t="s">
        <v>390</v>
      </c>
      <c r="U697">
        <v>280</v>
      </c>
      <c r="V697">
        <v>110</v>
      </c>
      <c r="W697">
        <v>2.2000000000000002</v>
      </c>
      <c r="X697" t="s">
        <v>26</v>
      </c>
      <c r="Y697">
        <v>4.5</v>
      </c>
      <c r="Z697">
        <v>0.05</v>
      </c>
      <c r="AA697">
        <v>0.02</v>
      </c>
      <c r="AB697">
        <v>51800</v>
      </c>
      <c r="AC697">
        <v>50764</v>
      </c>
      <c r="AD697">
        <v>407.00000000000006</v>
      </c>
      <c r="AE697">
        <v>2538.2000000000003</v>
      </c>
      <c r="AF697">
        <v>2538</v>
      </c>
      <c r="AG697">
        <v>20350</v>
      </c>
      <c r="AH697">
        <v>25337.8</v>
      </c>
      <c r="AI697" s="5">
        <v>0.49912930423134499</v>
      </c>
    </row>
    <row r="698" spans="14:35" x14ac:dyDescent="0.25">
      <c r="N698" t="s">
        <v>718</v>
      </c>
      <c r="O698" s="1">
        <v>46179.083333333336</v>
      </c>
      <c r="P698" t="s">
        <v>389</v>
      </c>
      <c r="Q698" t="s">
        <v>23</v>
      </c>
      <c r="R698" t="s">
        <v>29</v>
      </c>
      <c r="S698">
        <v>130</v>
      </c>
      <c r="T698" t="s">
        <v>390</v>
      </c>
      <c r="U698">
        <v>280</v>
      </c>
      <c r="V698">
        <v>110</v>
      </c>
      <c r="W698">
        <v>2.2000000000000002</v>
      </c>
      <c r="X698" t="s">
        <v>26</v>
      </c>
      <c r="Y698">
        <v>4.5</v>
      </c>
      <c r="Z698">
        <v>0.05</v>
      </c>
      <c r="AA698">
        <v>0.1</v>
      </c>
      <c r="AB698">
        <v>36400</v>
      </c>
      <c r="AC698">
        <v>32760</v>
      </c>
      <c r="AD698">
        <v>286</v>
      </c>
      <c r="AE698">
        <v>1638</v>
      </c>
      <c r="AF698">
        <v>1638</v>
      </c>
      <c r="AG698">
        <v>14300</v>
      </c>
      <c r="AH698">
        <v>15184</v>
      </c>
      <c r="AI698" s="5">
        <v>0.46349206349206401</v>
      </c>
    </row>
    <row r="699" spans="14:35" x14ac:dyDescent="0.25">
      <c r="N699" t="s">
        <v>719</v>
      </c>
      <c r="O699" s="1">
        <v>46179.125</v>
      </c>
      <c r="P699" t="s">
        <v>389</v>
      </c>
      <c r="Q699" t="s">
        <v>23</v>
      </c>
      <c r="R699" t="s">
        <v>24</v>
      </c>
      <c r="S699">
        <v>99</v>
      </c>
      <c r="T699" t="s">
        <v>390</v>
      </c>
      <c r="U699">
        <v>280</v>
      </c>
      <c r="V699">
        <v>110</v>
      </c>
      <c r="W699">
        <v>2.2000000000000002</v>
      </c>
      <c r="X699" t="s">
        <v>26</v>
      </c>
      <c r="Y699">
        <v>4.5</v>
      </c>
      <c r="Z699">
        <v>0.05</v>
      </c>
      <c r="AA699">
        <v>0.02</v>
      </c>
      <c r="AB699">
        <v>27720</v>
      </c>
      <c r="AC699">
        <v>27166</v>
      </c>
      <c r="AD699">
        <v>217.8</v>
      </c>
      <c r="AE699">
        <v>1358.3000000000002</v>
      </c>
      <c r="AF699">
        <v>1358</v>
      </c>
      <c r="AG699">
        <v>10890</v>
      </c>
      <c r="AH699">
        <v>13559.7</v>
      </c>
      <c r="AI699" s="5">
        <v>0.49914231024074202</v>
      </c>
    </row>
    <row r="700" spans="14:35" x14ac:dyDescent="0.25">
      <c r="N700" t="s">
        <v>720</v>
      </c>
      <c r="O700" s="1">
        <v>46180</v>
      </c>
      <c r="P700" t="s">
        <v>389</v>
      </c>
      <c r="Q700" t="s">
        <v>23</v>
      </c>
      <c r="R700" t="s">
        <v>32</v>
      </c>
      <c r="S700">
        <v>122</v>
      </c>
      <c r="T700" t="s">
        <v>390</v>
      </c>
      <c r="U700">
        <v>280</v>
      </c>
      <c r="V700">
        <v>110</v>
      </c>
      <c r="W700">
        <v>2.2000000000000002</v>
      </c>
      <c r="X700" t="s">
        <v>26</v>
      </c>
      <c r="Y700">
        <v>4.5</v>
      </c>
      <c r="Z700">
        <v>0.05</v>
      </c>
      <c r="AA700">
        <v>0.05</v>
      </c>
      <c r="AB700">
        <v>34160</v>
      </c>
      <c r="AC700">
        <v>32452</v>
      </c>
      <c r="AD700">
        <v>268.40000000000003</v>
      </c>
      <c r="AE700">
        <v>1622.6000000000001</v>
      </c>
      <c r="AF700">
        <v>1623</v>
      </c>
      <c r="AG700">
        <v>13420</v>
      </c>
      <c r="AH700">
        <v>15786.400000000001</v>
      </c>
      <c r="AI700" s="5">
        <v>0.48645383951682503</v>
      </c>
    </row>
    <row r="701" spans="14:35" x14ac:dyDescent="0.25">
      <c r="N701" t="s">
        <v>721</v>
      </c>
      <c r="O701" s="1">
        <v>46180.083333333336</v>
      </c>
      <c r="P701" t="s">
        <v>389</v>
      </c>
      <c r="Q701" t="s">
        <v>23</v>
      </c>
      <c r="R701" t="s">
        <v>24</v>
      </c>
      <c r="S701">
        <v>178</v>
      </c>
      <c r="T701" t="s">
        <v>390</v>
      </c>
      <c r="U701">
        <v>280</v>
      </c>
      <c r="V701">
        <v>110</v>
      </c>
      <c r="W701">
        <v>2.2000000000000002</v>
      </c>
      <c r="X701" t="s">
        <v>26</v>
      </c>
      <c r="Y701">
        <v>4.5</v>
      </c>
      <c r="Z701">
        <v>0.05</v>
      </c>
      <c r="AA701">
        <v>0.02</v>
      </c>
      <c r="AB701">
        <v>49840</v>
      </c>
      <c r="AC701">
        <v>48843</v>
      </c>
      <c r="AD701">
        <v>391.6</v>
      </c>
      <c r="AE701">
        <v>2442.15</v>
      </c>
      <c r="AF701">
        <v>2442</v>
      </c>
      <c r="AG701">
        <v>19580</v>
      </c>
      <c r="AH701">
        <v>24378.85</v>
      </c>
      <c r="AI701" s="5">
        <v>0.49912679401347199</v>
      </c>
    </row>
    <row r="702" spans="14:35" x14ac:dyDescent="0.25">
      <c r="N702" t="s">
        <v>722</v>
      </c>
      <c r="O702" s="1">
        <v>46181.333333333336</v>
      </c>
      <c r="P702" t="s">
        <v>389</v>
      </c>
      <c r="Q702" t="s">
        <v>23</v>
      </c>
      <c r="R702" t="s">
        <v>32</v>
      </c>
      <c r="S702">
        <v>38</v>
      </c>
      <c r="T702" t="s">
        <v>390</v>
      </c>
      <c r="U702">
        <v>280</v>
      </c>
      <c r="V702">
        <v>110</v>
      </c>
      <c r="W702">
        <v>2.2000000000000002</v>
      </c>
      <c r="X702" t="s">
        <v>26</v>
      </c>
      <c r="Y702">
        <v>4.5</v>
      </c>
      <c r="Z702">
        <v>0.05</v>
      </c>
      <c r="AA702">
        <v>0.05</v>
      </c>
      <c r="AB702">
        <v>10640</v>
      </c>
      <c r="AC702">
        <v>10108</v>
      </c>
      <c r="AD702">
        <v>83.600000000000009</v>
      </c>
      <c r="AE702">
        <v>505.40000000000003</v>
      </c>
      <c r="AF702">
        <v>505</v>
      </c>
      <c r="AG702">
        <v>4180</v>
      </c>
      <c r="AH702">
        <v>4917.6000000000004</v>
      </c>
      <c r="AI702" s="5">
        <v>0.48650573802928399</v>
      </c>
    </row>
    <row r="703" spans="14:35" x14ac:dyDescent="0.25">
      <c r="N703" t="s">
        <v>723</v>
      </c>
      <c r="O703" s="1">
        <v>46181.416666666664</v>
      </c>
      <c r="P703" t="s">
        <v>389</v>
      </c>
      <c r="Q703" t="s">
        <v>23</v>
      </c>
      <c r="R703" t="s">
        <v>32</v>
      </c>
      <c r="S703">
        <v>73</v>
      </c>
      <c r="T703" t="s">
        <v>390</v>
      </c>
      <c r="U703">
        <v>280</v>
      </c>
      <c r="V703">
        <v>110</v>
      </c>
      <c r="W703">
        <v>2.2000000000000002</v>
      </c>
      <c r="X703" t="s">
        <v>26</v>
      </c>
      <c r="Y703">
        <v>4.5</v>
      </c>
      <c r="Z703">
        <v>0.05</v>
      </c>
      <c r="AA703">
        <v>0.05</v>
      </c>
      <c r="AB703">
        <v>20440</v>
      </c>
      <c r="AC703">
        <v>19418</v>
      </c>
      <c r="AD703">
        <v>160.60000000000002</v>
      </c>
      <c r="AE703">
        <v>970.90000000000009</v>
      </c>
      <c r="AF703">
        <v>971</v>
      </c>
      <c r="AG703">
        <v>8030</v>
      </c>
      <c r="AH703">
        <v>9446.1</v>
      </c>
      <c r="AI703" s="5">
        <v>0.48646101555257998</v>
      </c>
    </row>
    <row r="704" spans="14:35" x14ac:dyDescent="0.25">
      <c r="N704" t="s">
        <v>724</v>
      </c>
      <c r="O704" s="1">
        <v>46181.5</v>
      </c>
      <c r="P704" t="s">
        <v>389</v>
      </c>
      <c r="Q704" t="s">
        <v>23</v>
      </c>
      <c r="R704" t="s">
        <v>24</v>
      </c>
      <c r="S704">
        <v>79</v>
      </c>
      <c r="T704" t="s">
        <v>390</v>
      </c>
      <c r="U704">
        <v>280</v>
      </c>
      <c r="V704">
        <v>110</v>
      </c>
      <c r="W704">
        <v>2.2000000000000002</v>
      </c>
      <c r="X704" t="s">
        <v>26</v>
      </c>
      <c r="Y704">
        <v>4.5</v>
      </c>
      <c r="Z704">
        <v>0.05</v>
      </c>
      <c r="AA704">
        <v>0.02</v>
      </c>
      <c r="AB704">
        <v>22120</v>
      </c>
      <c r="AC704">
        <v>21678</v>
      </c>
      <c r="AD704">
        <v>173.8</v>
      </c>
      <c r="AE704">
        <v>1083.9000000000001</v>
      </c>
      <c r="AF704">
        <v>1084</v>
      </c>
      <c r="AG704">
        <v>8690</v>
      </c>
      <c r="AH704">
        <v>10820.1</v>
      </c>
      <c r="AI704" s="5">
        <v>0.49912814835316899</v>
      </c>
    </row>
    <row r="705" spans="14:35" x14ac:dyDescent="0.25">
      <c r="N705" t="s">
        <v>725</v>
      </c>
      <c r="O705" s="1">
        <v>46182.083333333336</v>
      </c>
      <c r="P705" t="s">
        <v>389</v>
      </c>
      <c r="Q705" t="s">
        <v>23</v>
      </c>
      <c r="R705" t="s">
        <v>24</v>
      </c>
      <c r="S705">
        <v>196</v>
      </c>
      <c r="T705" t="s">
        <v>390</v>
      </c>
      <c r="U705">
        <v>280</v>
      </c>
      <c r="V705">
        <v>110</v>
      </c>
      <c r="W705">
        <v>2.2000000000000002</v>
      </c>
      <c r="X705" t="s">
        <v>26</v>
      </c>
      <c r="Y705">
        <v>4.5</v>
      </c>
      <c r="Z705">
        <v>0.05</v>
      </c>
      <c r="AA705">
        <v>0.02</v>
      </c>
      <c r="AB705">
        <v>54880</v>
      </c>
      <c r="AC705">
        <v>53782</v>
      </c>
      <c r="AD705">
        <v>431.20000000000005</v>
      </c>
      <c r="AE705">
        <v>2689.1000000000004</v>
      </c>
      <c r="AF705">
        <v>2689</v>
      </c>
      <c r="AG705">
        <v>21560</v>
      </c>
      <c r="AH705">
        <v>26843.9</v>
      </c>
      <c r="AI705" s="5">
        <v>0.499124242311554</v>
      </c>
    </row>
    <row r="706" spans="14:35" x14ac:dyDescent="0.25">
      <c r="N706" t="s">
        <v>726</v>
      </c>
      <c r="O706" s="1">
        <v>46182.208333333336</v>
      </c>
      <c r="P706" t="s">
        <v>389</v>
      </c>
      <c r="Q706" t="s">
        <v>23</v>
      </c>
      <c r="R706" t="s">
        <v>32</v>
      </c>
      <c r="S706">
        <v>122</v>
      </c>
      <c r="T706" t="s">
        <v>390</v>
      </c>
      <c r="U706">
        <v>280</v>
      </c>
      <c r="V706">
        <v>110</v>
      </c>
      <c r="W706">
        <v>2.2000000000000002</v>
      </c>
      <c r="X706" t="s">
        <v>26</v>
      </c>
      <c r="Y706">
        <v>4.5</v>
      </c>
      <c r="Z706">
        <v>0.05</v>
      </c>
      <c r="AA706">
        <v>0.05</v>
      </c>
      <c r="AB706">
        <v>34160</v>
      </c>
      <c r="AC706">
        <v>32452</v>
      </c>
      <c r="AD706">
        <v>268.40000000000003</v>
      </c>
      <c r="AE706">
        <v>1622.6000000000001</v>
      </c>
      <c r="AF706">
        <v>1623</v>
      </c>
      <c r="AG706">
        <v>13420</v>
      </c>
      <c r="AH706">
        <v>15786.400000000001</v>
      </c>
      <c r="AI706" s="5">
        <v>0.48645383951682503</v>
      </c>
    </row>
    <row r="707" spans="14:35" x14ac:dyDescent="0.25">
      <c r="N707" t="s">
        <v>727</v>
      </c>
      <c r="O707" s="1">
        <v>46182.291666666664</v>
      </c>
      <c r="P707" t="s">
        <v>389</v>
      </c>
      <c r="Q707" t="s">
        <v>23</v>
      </c>
      <c r="R707" t="s">
        <v>24</v>
      </c>
      <c r="S707">
        <v>23</v>
      </c>
      <c r="T707" t="s">
        <v>390</v>
      </c>
      <c r="U707">
        <v>280</v>
      </c>
      <c r="V707">
        <v>110</v>
      </c>
      <c r="W707">
        <v>2.2000000000000002</v>
      </c>
      <c r="X707" t="s">
        <v>26</v>
      </c>
      <c r="Y707">
        <v>4.5</v>
      </c>
      <c r="Z707">
        <v>0.05</v>
      </c>
      <c r="AA707">
        <v>0.02</v>
      </c>
      <c r="AB707">
        <v>6440</v>
      </c>
      <c r="AC707">
        <v>6311</v>
      </c>
      <c r="AD707">
        <v>50.6</v>
      </c>
      <c r="AE707">
        <v>315.55</v>
      </c>
      <c r="AF707">
        <v>316</v>
      </c>
      <c r="AG707">
        <v>2530</v>
      </c>
      <c r="AH707">
        <v>3149.45</v>
      </c>
      <c r="AI707" s="5">
        <v>0.499041356361908</v>
      </c>
    </row>
    <row r="708" spans="14:35" x14ac:dyDescent="0.25">
      <c r="N708" t="s">
        <v>728</v>
      </c>
      <c r="O708" s="1">
        <v>46182.666666666664</v>
      </c>
      <c r="P708" t="s">
        <v>389</v>
      </c>
      <c r="Q708" t="s">
        <v>23</v>
      </c>
      <c r="R708" t="s">
        <v>29</v>
      </c>
      <c r="S708">
        <v>11</v>
      </c>
      <c r="T708" t="s">
        <v>390</v>
      </c>
      <c r="U708">
        <v>280</v>
      </c>
      <c r="V708">
        <v>110</v>
      </c>
      <c r="W708">
        <v>2.2000000000000002</v>
      </c>
      <c r="X708" t="s">
        <v>26</v>
      </c>
      <c r="Y708">
        <v>4.5</v>
      </c>
      <c r="Z708">
        <v>0.05</v>
      </c>
      <c r="AA708">
        <v>0.1</v>
      </c>
      <c r="AB708">
        <v>3080</v>
      </c>
      <c r="AC708">
        <v>2772</v>
      </c>
      <c r="AD708">
        <v>24.200000000000003</v>
      </c>
      <c r="AE708">
        <v>138.6</v>
      </c>
      <c r="AF708">
        <v>139</v>
      </c>
      <c r="AG708">
        <v>1210</v>
      </c>
      <c r="AH708">
        <v>1284.4000000000001</v>
      </c>
      <c r="AI708" s="5">
        <v>0.46334776334776301</v>
      </c>
    </row>
    <row r="709" spans="14:35" x14ac:dyDescent="0.25">
      <c r="N709" t="s">
        <v>729</v>
      </c>
      <c r="O709" s="1">
        <v>46183.125</v>
      </c>
      <c r="P709" t="s">
        <v>389</v>
      </c>
      <c r="Q709" t="s">
        <v>23</v>
      </c>
      <c r="R709" t="s">
        <v>29</v>
      </c>
      <c r="S709">
        <v>171</v>
      </c>
      <c r="T709" t="s">
        <v>390</v>
      </c>
      <c r="U709">
        <v>280</v>
      </c>
      <c r="V709">
        <v>110</v>
      </c>
      <c r="W709">
        <v>2.2000000000000002</v>
      </c>
      <c r="X709" t="s">
        <v>26</v>
      </c>
      <c r="Y709">
        <v>4.5</v>
      </c>
      <c r="Z709">
        <v>0.05</v>
      </c>
      <c r="AA709">
        <v>0.1</v>
      </c>
      <c r="AB709">
        <v>47880</v>
      </c>
      <c r="AC709">
        <v>43092</v>
      </c>
      <c r="AD709">
        <v>376.20000000000005</v>
      </c>
      <c r="AE709">
        <v>2154.6</v>
      </c>
      <c r="AF709">
        <v>2155</v>
      </c>
      <c r="AG709">
        <v>18810</v>
      </c>
      <c r="AH709">
        <v>19972.400000000001</v>
      </c>
      <c r="AI709" s="5">
        <v>0.46348278102664098</v>
      </c>
    </row>
    <row r="710" spans="14:35" x14ac:dyDescent="0.25">
      <c r="N710" t="s">
        <v>730</v>
      </c>
      <c r="O710" s="1">
        <v>46183.208333333336</v>
      </c>
      <c r="P710" t="s">
        <v>389</v>
      </c>
      <c r="Q710" t="s">
        <v>23</v>
      </c>
      <c r="R710" t="s">
        <v>24</v>
      </c>
      <c r="S710">
        <v>30</v>
      </c>
      <c r="T710" t="s">
        <v>390</v>
      </c>
      <c r="U710">
        <v>280</v>
      </c>
      <c r="V710">
        <v>110</v>
      </c>
      <c r="W710">
        <v>2.2000000000000002</v>
      </c>
      <c r="X710" t="s">
        <v>26</v>
      </c>
      <c r="Y710">
        <v>4.5</v>
      </c>
      <c r="Z710">
        <v>0.05</v>
      </c>
      <c r="AA710">
        <v>0.02</v>
      </c>
      <c r="AB710">
        <v>8400</v>
      </c>
      <c r="AC710">
        <v>8232</v>
      </c>
      <c r="AD710">
        <v>66</v>
      </c>
      <c r="AE710">
        <v>411.6</v>
      </c>
      <c r="AF710">
        <v>412</v>
      </c>
      <c r="AG710">
        <v>3300</v>
      </c>
      <c r="AH710">
        <v>4108.3999999999996</v>
      </c>
      <c r="AI710" s="5">
        <v>0.49907677356656899</v>
      </c>
    </row>
    <row r="711" spans="14:35" x14ac:dyDescent="0.25">
      <c r="N711" t="s">
        <v>731</v>
      </c>
      <c r="O711" s="1">
        <v>46183.375</v>
      </c>
      <c r="P711" t="s">
        <v>389</v>
      </c>
      <c r="Q711" t="s">
        <v>23</v>
      </c>
      <c r="R711" t="s">
        <v>32</v>
      </c>
      <c r="S711">
        <v>31</v>
      </c>
      <c r="T711" t="s">
        <v>390</v>
      </c>
      <c r="U711">
        <v>280</v>
      </c>
      <c r="V711">
        <v>110</v>
      </c>
      <c r="W711">
        <v>2.2000000000000002</v>
      </c>
      <c r="X711" t="s">
        <v>26</v>
      </c>
      <c r="Y711">
        <v>4.5</v>
      </c>
      <c r="Z711">
        <v>0.05</v>
      </c>
      <c r="AA711">
        <v>0.05</v>
      </c>
      <c r="AB711">
        <v>8680</v>
      </c>
      <c r="AC711">
        <v>8246</v>
      </c>
      <c r="AD711">
        <v>68.2</v>
      </c>
      <c r="AE711">
        <v>412.3</v>
      </c>
      <c r="AF711">
        <v>412</v>
      </c>
      <c r="AG711">
        <v>3410</v>
      </c>
      <c r="AH711">
        <v>4011.7</v>
      </c>
      <c r="AI711" s="5">
        <v>0.48650254668930398</v>
      </c>
    </row>
    <row r="712" spans="14:35" x14ac:dyDescent="0.25">
      <c r="N712" t="s">
        <v>732</v>
      </c>
      <c r="O712" s="1">
        <v>46183.416666666664</v>
      </c>
      <c r="P712" t="s">
        <v>389</v>
      </c>
      <c r="Q712" t="s">
        <v>23</v>
      </c>
      <c r="R712" t="s">
        <v>32</v>
      </c>
      <c r="S712">
        <v>140</v>
      </c>
      <c r="T712" t="s">
        <v>390</v>
      </c>
      <c r="U712">
        <v>280</v>
      </c>
      <c r="V712">
        <v>110</v>
      </c>
      <c r="W712">
        <v>2.2000000000000002</v>
      </c>
      <c r="X712" t="s">
        <v>26</v>
      </c>
      <c r="Y712">
        <v>4.5</v>
      </c>
      <c r="Z712">
        <v>0.05</v>
      </c>
      <c r="AA712">
        <v>0.05</v>
      </c>
      <c r="AB712">
        <v>39200</v>
      </c>
      <c r="AC712">
        <v>37240</v>
      </c>
      <c r="AD712">
        <v>308</v>
      </c>
      <c r="AE712">
        <v>1862</v>
      </c>
      <c r="AF712">
        <v>1862</v>
      </c>
      <c r="AG712">
        <v>15400</v>
      </c>
      <c r="AH712">
        <v>18116</v>
      </c>
      <c r="AI712" s="5">
        <v>0.48646616541353399</v>
      </c>
    </row>
    <row r="713" spans="14:35" x14ac:dyDescent="0.25">
      <c r="N713" t="s">
        <v>733</v>
      </c>
      <c r="O713" s="1">
        <v>46183.458333333336</v>
      </c>
      <c r="P713" t="s">
        <v>389</v>
      </c>
      <c r="Q713" t="s">
        <v>23</v>
      </c>
      <c r="R713" t="s">
        <v>29</v>
      </c>
      <c r="S713">
        <v>90</v>
      </c>
      <c r="T713" t="s">
        <v>390</v>
      </c>
      <c r="U713">
        <v>280</v>
      </c>
      <c r="V713">
        <v>110</v>
      </c>
      <c r="W713">
        <v>2.2000000000000002</v>
      </c>
      <c r="X713" t="s">
        <v>26</v>
      </c>
      <c r="Y713">
        <v>4.5</v>
      </c>
      <c r="Z713">
        <v>0.05</v>
      </c>
      <c r="AA713">
        <v>0.1</v>
      </c>
      <c r="AB713">
        <v>25200</v>
      </c>
      <c r="AC713">
        <v>22680</v>
      </c>
      <c r="AD713">
        <v>198.00000000000003</v>
      </c>
      <c r="AE713">
        <v>1134</v>
      </c>
      <c r="AF713">
        <v>1134</v>
      </c>
      <c r="AG713">
        <v>9900</v>
      </c>
      <c r="AH713">
        <v>10512</v>
      </c>
      <c r="AI713" s="5">
        <v>0.46349206349206401</v>
      </c>
    </row>
    <row r="714" spans="14:35" x14ac:dyDescent="0.25">
      <c r="N714" t="s">
        <v>734</v>
      </c>
      <c r="O714" s="1">
        <v>46183.916666666664</v>
      </c>
      <c r="P714" t="s">
        <v>389</v>
      </c>
      <c r="Q714" t="s">
        <v>23</v>
      </c>
      <c r="R714" t="s">
        <v>32</v>
      </c>
      <c r="S714">
        <v>36</v>
      </c>
      <c r="T714" t="s">
        <v>390</v>
      </c>
      <c r="U714">
        <v>280</v>
      </c>
      <c r="V714">
        <v>110</v>
      </c>
      <c r="W714">
        <v>2.2000000000000002</v>
      </c>
      <c r="X714" t="s">
        <v>26</v>
      </c>
      <c r="Y714">
        <v>4.5</v>
      </c>
      <c r="Z714">
        <v>0.05</v>
      </c>
      <c r="AA714">
        <v>0.05</v>
      </c>
      <c r="AB714">
        <v>10080</v>
      </c>
      <c r="AC714">
        <v>9576</v>
      </c>
      <c r="AD714">
        <v>79.2</v>
      </c>
      <c r="AE714">
        <v>478.8</v>
      </c>
      <c r="AF714">
        <v>479</v>
      </c>
      <c r="AG714">
        <v>3960</v>
      </c>
      <c r="AH714">
        <v>4658.2</v>
      </c>
      <c r="AI714" s="5">
        <v>0.48644527986633201</v>
      </c>
    </row>
    <row r="715" spans="14:35" x14ac:dyDescent="0.25">
      <c r="N715" t="s">
        <v>735</v>
      </c>
      <c r="O715" s="1">
        <v>46184.458333333336</v>
      </c>
      <c r="P715" t="s">
        <v>389</v>
      </c>
      <c r="Q715" t="s">
        <v>23</v>
      </c>
      <c r="R715" t="s">
        <v>32</v>
      </c>
      <c r="S715">
        <v>39</v>
      </c>
      <c r="T715" t="s">
        <v>390</v>
      </c>
      <c r="U715">
        <v>280</v>
      </c>
      <c r="V715">
        <v>110</v>
      </c>
      <c r="W715">
        <v>2.2000000000000002</v>
      </c>
      <c r="X715" t="s">
        <v>26</v>
      </c>
      <c r="Y715">
        <v>4.5</v>
      </c>
      <c r="Z715">
        <v>0.05</v>
      </c>
      <c r="AA715">
        <v>0.05</v>
      </c>
      <c r="AB715">
        <v>10920</v>
      </c>
      <c r="AC715">
        <v>10374</v>
      </c>
      <c r="AD715">
        <v>85.800000000000011</v>
      </c>
      <c r="AE715">
        <v>518.70000000000005</v>
      </c>
      <c r="AF715">
        <v>519</v>
      </c>
      <c r="AG715">
        <v>4290</v>
      </c>
      <c r="AH715">
        <v>5046.3</v>
      </c>
      <c r="AI715" s="5">
        <v>0.486437246963563</v>
      </c>
    </row>
    <row r="716" spans="14:35" x14ac:dyDescent="0.25">
      <c r="N716" t="s">
        <v>736</v>
      </c>
      <c r="O716" s="1">
        <v>46143.416666666664</v>
      </c>
      <c r="P716" t="s">
        <v>737</v>
      </c>
      <c r="Q716" t="s">
        <v>277</v>
      </c>
      <c r="R716" t="s">
        <v>29</v>
      </c>
      <c r="S716">
        <v>95</v>
      </c>
      <c r="T716" t="s">
        <v>738</v>
      </c>
      <c r="U716">
        <v>450</v>
      </c>
      <c r="V716">
        <v>180</v>
      </c>
      <c r="W716">
        <v>3.5</v>
      </c>
      <c r="X716" t="s">
        <v>278</v>
      </c>
      <c r="Y716">
        <v>8</v>
      </c>
      <c r="Z716">
        <v>0.12</v>
      </c>
      <c r="AA716">
        <v>0.1</v>
      </c>
      <c r="AB716">
        <v>42750</v>
      </c>
      <c r="AC716">
        <v>38475</v>
      </c>
      <c r="AD716">
        <v>332.5</v>
      </c>
      <c r="AE716">
        <v>4617</v>
      </c>
      <c r="AF716">
        <v>4617</v>
      </c>
      <c r="AG716">
        <v>17100</v>
      </c>
      <c r="AH716">
        <v>12141</v>
      </c>
      <c r="AI716" s="5">
        <v>0.31555555555555598</v>
      </c>
    </row>
    <row r="717" spans="14:35" x14ac:dyDescent="0.25">
      <c r="N717" t="s">
        <v>739</v>
      </c>
      <c r="O717" s="1">
        <v>46144.791666666664</v>
      </c>
      <c r="P717" t="s">
        <v>737</v>
      </c>
      <c r="Q717" t="s">
        <v>277</v>
      </c>
      <c r="R717" t="s">
        <v>32</v>
      </c>
      <c r="S717">
        <v>138</v>
      </c>
      <c r="T717" t="s">
        <v>738</v>
      </c>
      <c r="U717">
        <v>450</v>
      </c>
      <c r="V717">
        <v>180</v>
      </c>
      <c r="W717">
        <v>3.5</v>
      </c>
      <c r="X717" t="s">
        <v>278</v>
      </c>
      <c r="Y717">
        <v>8</v>
      </c>
      <c r="Z717">
        <v>0.12</v>
      </c>
      <c r="AA717">
        <v>0.05</v>
      </c>
      <c r="AB717">
        <v>62100</v>
      </c>
      <c r="AC717">
        <v>58995</v>
      </c>
      <c r="AD717">
        <v>483</v>
      </c>
      <c r="AE717">
        <v>7079.4</v>
      </c>
      <c r="AF717">
        <v>7079</v>
      </c>
      <c r="AG717">
        <v>24840</v>
      </c>
      <c r="AH717">
        <v>19996.599999999999</v>
      </c>
      <c r="AI717" s="5">
        <v>0.33895414865666601</v>
      </c>
    </row>
    <row r="718" spans="14:35" x14ac:dyDescent="0.25">
      <c r="N718" t="s">
        <v>740</v>
      </c>
      <c r="O718" s="1">
        <v>46145.708333333336</v>
      </c>
      <c r="P718" t="s">
        <v>737</v>
      </c>
      <c r="Q718" t="s">
        <v>277</v>
      </c>
      <c r="R718" t="s">
        <v>24</v>
      </c>
      <c r="S718">
        <v>60</v>
      </c>
      <c r="T718" t="s">
        <v>738</v>
      </c>
      <c r="U718">
        <v>450</v>
      </c>
      <c r="V718">
        <v>180</v>
      </c>
      <c r="W718">
        <v>3.5</v>
      </c>
      <c r="X718" t="s">
        <v>278</v>
      </c>
      <c r="Y718">
        <v>8</v>
      </c>
      <c r="Z718">
        <v>0.12</v>
      </c>
      <c r="AA718">
        <v>0.02</v>
      </c>
      <c r="AB718">
        <v>27000</v>
      </c>
      <c r="AC718">
        <v>26460</v>
      </c>
      <c r="AD718">
        <v>210</v>
      </c>
      <c r="AE718">
        <v>3175.2</v>
      </c>
      <c r="AF718">
        <v>3175</v>
      </c>
      <c r="AG718">
        <v>10800</v>
      </c>
      <c r="AH718">
        <v>9309.7999999999993</v>
      </c>
      <c r="AI718" s="5">
        <v>0.35184429327286498</v>
      </c>
    </row>
    <row r="719" spans="14:35" x14ac:dyDescent="0.25">
      <c r="N719" t="s">
        <v>741</v>
      </c>
      <c r="O719" s="1">
        <v>46146.291666666664</v>
      </c>
      <c r="P719" t="s">
        <v>737</v>
      </c>
      <c r="Q719" t="s">
        <v>277</v>
      </c>
      <c r="R719" t="s">
        <v>32</v>
      </c>
      <c r="S719">
        <v>190</v>
      </c>
      <c r="T719" t="s">
        <v>738</v>
      </c>
      <c r="U719">
        <v>450</v>
      </c>
      <c r="V719">
        <v>180</v>
      </c>
      <c r="W719">
        <v>3.5</v>
      </c>
      <c r="X719" t="s">
        <v>278</v>
      </c>
      <c r="Y719">
        <v>8</v>
      </c>
      <c r="Z719">
        <v>0.12</v>
      </c>
      <c r="AA719">
        <v>0.05</v>
      </c>
      <c r="AB719">
        <v>85500</v>
      </c>
      <c r="AC719">
        <v>81225</v>
      </c>
      <c r="AD719">
        <v>665</v>
      </c>
      <c r="AE719">
        <v>9747</v>
      </c>
      <c r="AF719">
        <v>9747</v>
      </c>
      <c r="AG719">
        <v>34200</v>
      </c>
      <c r="AH719">
        <v>27531</v>
      </c>
      <c r="AI719" s="5">
        <v>0.338947368421053</v>
      </c>
    </row>
    <row r="720" spans="14:35" x14ac:dyDescent="0.25">
      <c r="N720" t="s">
        <v>742</v>
      </c>
      <c r="O720" s="1">
        <v>46146.458333333336</v>
      </c>
      <c r="P720" t="s">
        <v>737</v>
      </c>
      <c r="Q720" t="s">
        <v>277</v>
      </c>
      <c r="R720" t="s">
        <v>29</v>
      </c>
      <c r="S720">
        <v>167</v>
      </c>
      <c r="T720" t="s">
        <v>738</v>
      </c>
      <c r="U720">
        <v>450</v>
      </c>
      <c r="V720">
        <v>180</v>
      </c>
      <c r="W720">
        <v>3.5</v>
      </c>
      <c r="X720" t="s">
        <v>278</v>
      </c>
      <c r="Y720">
        <v>8</v>
      </c>
      <c r="Z720">
        <v>0.12</v>
      </c>
      <c r="AA720">
        <v>0.1</v>
      </c>
      <c r="AB720">
        <v>75150</v>
      </c>
      <c r="AC720">
        <v>67635</v>
      </c>
      <c r="AD720">
        <v>584.5</v>
      </c>
      <c r="AE720">
        <v>8116.2</v>
      </c>
      <c r="AF720">
        <v>8116</v>
      </c>
      <c r="AG720">
        <v>30060</v>
      </c>
      <c r="AH720">
        <v>21342.800000000003</v>
      </c>
      <c r="AI720" s="5">
        <v>0.31555851260442103</v>
      </c>
    </row>
    <row r="721" spans="14:35" x14ac:dyDescent="0.25">
      <c r="N721" t="s">
        <v>743</v>
      </c>
      <c r="O721" s="1">
        <v>46146.5</v>
      </c>
      <c r="P721" t="s">
        <v>737</v>
      </c>
      <c r="Q721" t="s">
        <v>277</v>
      </c>
      <c r="R721" t="s">
        <v>32</v>
      </c>
      <c r="S721">
        <v>182</v>
      </c>
      <c r="T721" t="s">
        <v>738</v>
      </c>
      <c r="U721">
        <v>450</v>
      </c>
      <c r="V721">
        <v>180</v>
      </c>
      <c r="W721">
        <v>3.5</v>
      </c>
      <c r="X721" t="s">
        <v>278</v>
      </c>
      <c r="Y721">
        <v>8</v>
      </c>
      <c r="Z721">
        <v>0.12</v>
      </c>
      <c r="AA721">
        <v>0.05</v>
      </c>
      <c r="AB721">
        <v>81900</v>
      </c>
      <c r="AC721">
        <v>77805</v>
      </c>
      <c r="AD721">
        <v>637</v>
      </c>
      <c r="AE721">
        <v>9336.6</v>
      </c>
      <c r="AF721">
        <v>9337</v>
      </c>
      <c r="AG721">
        <v>32760</v>
      </c>
      <c r="AH721">
        <v>26371.4</v>
      </c>
      <c r="AI721" s="5">
        <v>0.33894222736328</v>
      </c>
    </row>
    <row r="722" spans="14:35" x14ac:dyDescent="0.25">
      <c r="N722" t="s">
        <v>744</v>
      </c>
      <c r="O722" s="1">
        <v>46146.833333333336</v>
      </c>
      <c r="P722" t="s">
        <v>737</v>
      </c>
      <c r="Q722" t="s">
        <v>277</v>
      </c>
      <c r="R722" t="s">
        <v>32</v>
      </c>
      <c r="S722">
        <v>152</v>
      </c>
      <c r="T722" t="s">
        <v>738</v>
      </c>
      <c r="U722">
        <v>450</v>
      </c>
      <c r="V722">
        <v>180</v>
      </c>
      <c r="W722">
        <v>3.5</v>
      </c>
      <c r="X722" t="s">
        <v>278</v>
      </c>
      <c r="Y722">
        <v>8</v>
      </c>
      <c r="Z722">
        <v>0.12</v>
      </c>
      <c r="AA722">
        <v>0.05</v>
      </c>
      <c r="AB722">
        <v>68400</v>
      </c>
      <c r="AC722">
        <v>64980</v>
      </c>
      <c r="AD722">
        <v>532</v>
      </c>
      <c r="AE722">
        <v>7797.5999999999995</v>
      </c>
      <c r="AF722">
        <v>7798</v>
      </c>
      <c r="AG722">
        <v>27360</v>
      </c>
      <c r="AH722">
        <v>22024.400000000001</v>
      </c>
      <c r="AI722" s="5">
        <v>0.338941212680825</v>
      </c>
    </row>
    <row r="723" spans="14:35" x14ac:dyDescent="0.25">
      <c r="N723" t="s">
        <v>745</v>
      </c>
      <c r="O723" s="1">
        <v>46147.291666666664</v>
      </c>
      <c r="P723" t="s">
        <v>737</v>
      </c>
      <c r="Q723" t="s">
        <v>277</v>
      </c>
      <c r="R723" t="s">
        <v>29</v>
      </c>
      <c r="S723">
        <v>155</v>
      </c>
      <c r="T723" t="s">
        <v>738</v>
      </c>
      <c r="U723">
        <v>450</v>
      </c>
      <c r="V723">
        <v>180</v>
      </c>
      <c r="W723">
        <v>3.5</v>
      </c>
      <c r="X723" t="s">
        <v>278</v>
      </c>
      <c r="Y723">
        <v>8</v>
      </c>
      <c r="Z723">
        <v>0.12</v>
      </c>
      <c r="AA723">
        <v>0.1</v>
      </c>
      <c r="AB723">
        <v>69750</v>
      </c>
      <c r="AC723">
        <v>62775</v>
      </c>
      <c r="AD723">
        <v>542.5</v>
      </c>
      <c r="AE723">
        <v>7533</v>
      </c>
      <c r="AF723">
        <v>7533</v>
      </c>
      <c r="AG723">
        <v>27900</v>
      </c>
      <c r="AH723">
        <v>19809</v>
      </c>
      <c r="AI723" s="5">
        <v>0.31555555555555598</v>
      </c>
    </row>
    <row r="724" spans="14:35" x14ac:dyDescent="0.25">
      <c r="N724" t="s">
        <v>746</v>
      </c>
      <c r="O724" s="1">
        <v>46147.541666666664</v>
      </c>
      <c r="P724" t="s">
        <v>737</v>
      </c>
      <c r="Q724" t="s">
        <v>277</v>
      </c>
      <c r="R724" t="s">
        <v>29</v>
      </c>
      <c r="S724">
        <v>46</v>
      </c>
      <c r="T724" t="s">
        <v>738</v>
      </c>
      <c r="U724">
        <v>450</v>
      </c>
      <c r="V724">
        <v>180</v>
      </c>
      <c r="W724">
        <v>3.5</v>
      </c>
      <c r="X724" t="s">
        <v>278</v>
      </c>
      <c r="Y724">
        <v>8</v>
      </c>
      <c r="Z724">
        <v>0.12</v>
      </c>
      <c r="AA724">
        <v>0.1</v>
      </c>
      <c r="AB724">
        <v>20700</v>
      </c>
      <c r="AC724">
        <v>18630</v>
      </c>
      <c r="AD724">
        <v>161</v>
      </c>
      <c r="AE724">
        <v>2235.6</v>
      </c>
      <c r="AF724">
        <v>2236</v>
      </c>
      <c r="AG724">
        <v>8280</v>
      </c>
      <c r="AH724">
        <v>5878.4</v>
      </c>
      <c r="AI724" s="5">
        <v>0.315534084809447</v>
      </c>
    </row>
    <row r="725" spans="14:35" x14ac:dyDescent="0.25">
      <c r="N725" t="s">
        <v>747</v>
      </c>
      <c r="O725" s="1">
        <v>46147.583333333336</v>
      </c>
      <c r="P725" t="s">
        <v>737</v>
      </c>
      <c r="Q725" t="s">
        <v>277</v>
      </c>
      <c r="R725" t="s">
        <v>24</v>
      </c>
      <c r="S725">
        <v>173</v>
      </c>
      <c r="T725" t="s">
        <v>738</v>
      </c>
      <c r="U725">
        <v>450</v>
      </c>
      <c r="V725">
        <v>180</v>
      </c>
      <c r="W725">
        <v>3.5</v>
      </c>
      <c r="X725" t="s">
        <v>278</v>
      </c>
      <c r="Y725">
        <v>8</v>
      </c>
      <c r="Z725">
        <v>0.12</v>
      </c>
      <c r="AA725">
        <v>0.02</v>
      </c>
      <c r="AB725">
        <v>77850</v>
      </c>
      <c r="AC725">
        <v>76293</v>
      </c>
      <c r="AD725">
        <v>605.5</v>
      </c>
      <c r="AE725">
        <v>9155.16</v>
      </c>
      <c r="AF725">
        <v>9155</v>
      </c>
      <c r="AG725">
        <v>31140</v>
      </c>
      <c r="AH725">
        <v>26842.839999999997</v>
      </c>
      <c r="AI725" s="5">
        <v>0.35183883187186199</v>
      </c>
    </row>
    <row r="726" spans="14:35" x14ac:dyDescent="0.25">
      <c r="N726" t="s">
        <v>748</v>
      </c>
      <c r="O726" s="1">
        <v>46148.541666666664</v>
      </c>
      <c r="P726" t="s">
        <v>737</v>
      </c>
      <c r="Q726" t="s">
        <v>277</v>
      </c>
      <c r="R726" t="s">
        <v>24</v>
      </c>
      <c r="S726">
        <v>112</v>
      </c>
      <c r="T726" t="s">
        <v>738</v>
      </c>
      <c r="U726">
        <v>450</v>
      </c>
      <c r="V726">
        <v>180</v>
      </c>
      <c r="W726">
        <v>3.5</v>
      </c>
      <c r="X726" t="s">
        <v>278</v>
      </c>
      <c r="Y726">
        <v>8</v>
      </c>
      <c r="Z726">
        <v>0.12</v>
      </c>
      <c r="AA726">
        <v>0.02</v>
      </c>
      <c r="AB726">
        <v>50400</v>
      </c>
      <c r="AC726">
        <v>49392</v>
      </c>
      <c r="AD726">
        <v>392</v>
      </c>
      <c r="AE726">
        <v>5927.04</v>
      </c>
      <c r="AF726">
        <v>5927</v>
      </c>
      <c r="AG726">
        <v>20160</v>
      </c>
      <c r="AH726">
        <v>17377.96</v>
      </c>
      <c r="AI726" s="5">
        <v>0.35183754454162602</v>
      </c>
    </row>
    <row r="727" spans="14:35" x14ac:dyDescent="0.25">
      <c r="N727" t="s">
        <v>749</v>
      </c>
      <c r="O727" s="1">
        <v>46149.416666666664</v>
      </c>
      <c r="P727" t="s">
        <v>737</v>
      </c>
      <c r="Q727" t="s">
        <v>277</v>
      </c>
      <c r="R727" t="s">
        <v>32</v>
      </c>
      <c r="S727">
        <v>86</v>
      </c>
      <c r="T727" t="s">
        <v>738</v>
      </c>
      <c r="U727">
        <v>450</v>
      </c>
      <c r="V727">
        <v>180</v>
      </c>
      <c r="W727">
        <v>3.5</v>
      </c>
      <c r="X727" t="s">
        <v>278</v>
      </c>
      <c r="Y727">
        <v>8</v>
      </c>
      <c r="Z727">
        <v>0.12</v>
      </c>
      <c r="AA727">
        <v>0.05</v>
      </c>
      <c r="AB727">
        <v>38700</v>
      </c>
      <c r="AC727">
        <v>36765</v>
      </c>
      <c r="AD727">
        <v>301</v>
      </c>
      <c r="AE727">
        <v>4411.8</v>
      </c>
      <c r="AF727">
        <v>4412</v>
      </c>
      <c r="AG727">
        <v>15480</v>
      </c>
      <c r="AH727">
        <v>12461.2</v>
      </c>
      <c r="AI727" s="5">
        <v>0.338941928464572</v>
      </c>
    </row>
    <row r="728" spans="14:35" x14ac:dyDescent="0.25">
      <c r="N728" t="s">
        <v>750</v>
      </c>
      <c r="O728" s="1">
        <v>46149.833333333336</v>
      </c>
      <c r="P728" t="s">
        <v>737</v>
      </c>
      <c r="Q728" t="s">
        <v>277</v>
      </c>
      <c r="R728" t="s">
        <v>32</v>
      </c>
      <c r="S728">
        <v>19</v>
      </c>
      <c r="T728" t="s">
        <v>738</v>
      </c>
      <c r="U728">
        <v>450</v>
      </c>
      <c r="V728">
        <v>180</v>
      </c>
      <c r="W728">
        <v>3.5</v>
      </c>
      <c r="X728" t="s">
        <v>278</v>
      </c>
      <c r="Y728">
        <v>8</v>
      </c>
      <c r="Z728">
        <v>0.12</v>
      </c>
      <c r="AA728">
        <v>0.05</v>
      </c>
      <c r="AB728">
        <v>8550</v>
      </c>
      <c r="AC728">
        <v>8122</v>
      </c>
      <c r="AD728">
        <v>66.5</v>
      </c>
      <c r="AE728">
        <v>974.64</v>
      </c>
      <c r="AF728">
        <v>975</v>
      </c>
      <c r="AG728">
        <v>3420</v>
      </c>
      <c r="AH728">
        <v>2752.3599999999997</v>
      </c>
      <c r="AI728" s="5">
        <v>0.33887712386111801</v>
      </c>
    </row>
    <row r="729" spans="14:35" x14ac:dyDescent="0.25">
      <c r="N729" t="s">
        <v>751</v>
      </c>
      <c r="O729" s="1">
        <v>46149.875</v>
      </c>
      <c r="P729" t="s">
        <v>737</v>
      </c>
      <c r="Q729" t="s">
        <v>277</v>
      </c>
      <c r="R729" t="s">
        <v>32</v>
      </c>
      <c r="S729">
        <v>24</v>
      </c>
      <c r="T729" t="s">
        <v>738</v>
      </c>
      <c r="U729">
        <v>450</v>
      </c>
      <c r="V729">
        <v>180</v>
      </c>
      <c r="W729">
        <v>3.5</v>
      </c>
      <c r="X729" t="s">
        <v>278</v>
      </c>
      <c r="Y729">
        <v>8</v>
      </c>
      <c r="Z729">
        <v>0.12</v>
      </c>
      <c r="AA729">
        <v>0.05</v>
      </c>
      <c r="AB729">
        <v>10800</v>
      </c>
      <c r="AC729">
        <v>10260</v>
      </c>
      <c r="AD729">
        <v>84</v>
      </c>
      <c r="AE729">
        <v>1231.2</v>
      </c>
      <c r="AF729">
        <v>1231</v>
      </c>
      <c r="AG729">
        <v>4320</v>
      </c>
      <c r="AH729">
        <v>3477.8</v>
      </c>
      <c r="AI729" s="5">
        <v>0.33896686159844103</v>
      </c>
    </row>
    <row r="730" spans="14:35" x14ac:dyDescent="0.25">
      <c r="N730" t="s">
        <v>752</v>
      </c>
      <c r="O730" s="1">
        <v>46151.291666666664</v>
      </c>
      <c r="P730" t="s">
        <v>737</v>
      </c>
      <c r="Q730" t="s">
        <v>277</v>
      </c>
      <c r="R730" t="s">
        <v>32</v>
      </c>
      <c r="S730">
        <v>89</v>
      </c>
      <c r="T730" t="s">
        <v>738</v>
      </c>
      <c r="U730">
        <v>450</v>
      </c>
      <c r="V730">
        <v>180</v>
      </c>
      <c r="W730">
        <v>3.5</v>
      </c>
      <c r="X730" t="s">
        <v>278</v>
      </c>
      <c r="Y730">
        <v>8</v>
      </c>
      <c r="Z730">
        <v>0.12</v>
      </c>
      <c r="AA730">
        <v>0.05</v>
      </c>
      <c r="AB730">
        <v>40050</v>
      </c>
      <c r="AC730">
        <v>38048</v>
      </c>
      <c r="AD730">
        <v>311.5</v>
      </c>
      <c r="AE730">
        <v>4565.76</v>
      </c>
      <c r="AF730">
        <v>4566</v>
      </c>
      <c r="AG730">
        <v>16020</v>
      </c>
      <c r="AH730">
        <v>12896.239999999998</v>
      </c>
      <c r="AI730" s="5">
        <v>0.338946593776283</v>
      </c>
    </row>
    <row r="731" spans="14:35" x14ac:dyDescent="0.25">
      <c r="N731" t="s">
        <v>753</v>
      </c>
      <c r="O731" s="1">
        <v>46151.458333333336</v>
      </c>
      <c r="P731" t="s">
        <v>737</v>
      </c>
      <c r="Q731" t="s">
        <v>277</v>
      </c>
      <c r="R731" t="s">
        <v>24</v>
      </c>
      <c r="S731">
        <v>166</v>
      </c>
      <c r="T731" t="s">
        <v>738</v>
      </c>
      <c r="U731">
        <v>450</v>
      </c>
      <c r="V731">
        <v>180</v>
      </c>
      <c r="W731">
        <v>3.5</v>
      </c>
      <c r="X731" t="s">
        <v>278</v>
      </c>
      <c r="Y731">
        <v>8</v>
      </c>
      <c r="Z731">
        <v>0.12</v>
      </c>
      <c r="AA731">
        <v>0.02</v>
      </c>
      <c r="AB731">
        <v>74700</v>
      </c>
      <c r="AC731">
        <v>73206</v>
      </c>
      <c r="AD731">
        <v>581</v>
      </c>
      <c r="AE731">
        <v>8784.7199999999993</v>
      </c>
      <c r="AF731">
        <v>8785</v>
      </c>
      <c r="AG731">
        <v>29880</v>
      </c>
      <c r="AH731">
        <v>25756.28</v>
      </c>
      <c r="AI731" s="5">
        <v>0.35183290987077598</v>
      </c>
    </row>
    <row r="732" spans="14:35" x14ac:dyDescent="0.25">
      <c r="N732" t="s">
        <v>754</v>
      </c>
      <c r="O732" s="1">
        <v>46151.833333333336</v>
      </c>
      <c r="P732" t="s">
        <v>737</v>
      </c>
      <c r="Q732" t="s">
        <v>277</v>
      </c>
      <c r="R732" t="s">
        <v>29</v>
      </c>
      <c r="S732">
        <v>95</v>
      </c>
      <c r="T732" t="s">
        <v>738</v>
      </c>
      <c r="U732">
        <v>450</v>
      </c>
      <c r="V732">
        <v>180</v>
      </c>
      <c r="W732">
        <v>3.5</v>
      </c>
      <c r="X732" t="s">
        <v>278</v>
      </c>
      <c r="Y732">
        <v>8</v>
      </c>
      <c r="Z732">
        <v>0.12</v>
      </c>
      <c r="AA732">
        <v>0.1</v>
      </c>
      <c r="AB732">
        <v>42750</v>
      </c>
      <c r="AC732">
        <v>38475</v>
      </c>
      <c r="AD732">
        <v>332.5</v>
      </c>
      <c r="AE732">
        <v>4617</v>
      </c>
      <c r="AF732">
        <v>4617</v>
      </c>
      <c r="AG732">
        <v>17100</v>
      </c>
      <c r="AH732">
        <v>12141</v>
      </c>
      <c r="AI732" s="5">
        <v>0.31555555555555598</v>
      </c>
    </row>
    <row r="733" spans="14:35" x14ac:dyDescent="0.25">
      <c r="N733" t="s">
        <v>755</v>
      </c>
      <c r="O733" s="1">
        <v>46152.083333333336</v>
      </c>
      <c r="P733" t="s">
        <v>737</v>
      </c>
      <c r="Q733" t="s">
        <v>277</v>
      </c>
      <c r="R733" t="s">
        <v>32</v>
      </c>
      <c r="S733">
        <v>165</v>
      </c>
      <c r="T733" t="s">
        <v>738</v>
      </c>
      <c r="U733">
        <v>450</v>
      </c>
      <c r="V733">
        <v>180</v>
      </c>
      <c r="W733">
        <v>3.5</v>
      </c>
      <c r="X733" t="s">
        <v>278</v>
      </c>
      <c r="Y733">
        <v>8</v>
      </c>
      <c r="Z733">
        <v>0.12</v>
      </c>
      <c r="AA733">
        <v>0.05</v>
      </c>
      <c r="AB733">
        <v>74250</v>
      </c>
      <c r="AC733">
        <v>70538</v>
      </c>
      <c r="AD733">
        <v>577.5</v>
      </c>
      <c r="AE733">
        <v>8464.56</v>
      </c>
      <c r="AF733">
        <v>8465</v>
      </c>
      <c r="AG733">
        <v>29700</v>
      </c>
      <c r="AH733">
        <v>23908.440000000002</v>
      </c>
      <c r="AI733" s="5">
        <v>0.33894411522867102</v>
      </c>
    </row>
    <row r="734" spans="14:35" x14ac:dyDescent="0.25">
      <c r="N734" t="s">
        <v>756</v>
      </c>
      <c r="O734" s="1">
        <v>46152.333333333336</v>
      </c>
      <c r="P734" t="s">
        <v>737</v>
      </c>
      <c r="Q734" t="s">
        <v>277</v>
      </c>
      <c r="R734" t="s">
        <v>32</v>
      </c>
      <c r="S734">
        <v>54</v>
      </c>
      <c r="T734" t="s">
        <v>738</v>
      </c>
      <c r="U734">
        <v>450</v>
      </c>
      <c r="V734">
        <v>180</v>
      </c>
      <c r="W734">
        <v>3.5</v>
      </c>
      <c r="X734" t="s">
        <v>278</v>
      </c>
      <c r="Y734">
        <v>8</v>
      </c>
      <c r="Z734">
        <v>0.12</v>
      </c>
      <c r="AA734">
        <v>0.05</v>
      </c>
      <c r="AB734">
        <v>24300</v>
      </c>
      <c r="AC734">
        <v>23085</v>
      </c>
      <c r="AD734">
        <v>189</v>
      </c>
      <c r="AE734">
        <v>2770.2</v>
      </c>
      <c r="AF734">
        <v>2770</v>
      </c>
      <c r="AG734">
        <v>9720</v>
      </c>
      <c r="AH734">
        <v>7824.7999999999993</v>
      </c>
      <c r="AI734" s="5">
        <v>0.338956032055447</v>
      </c>
    </row>
    <row r="735" spans="14:35" x14ac:dyDescent="0.25">
      <c r="N735" t="s">
        <v>757</v>
      </c>
      <c r="O735" s="1">
        <v>46152.375</v>
      </c>
      <c r="P735" t="s">
        <v>737</v>
      </c>
      <c r="Q735" t="s">
        <v>277</v>
      </c>
      <c r="R735" t="s">
        <v>29</v>
      </c>
      <c r="S735">
        <v>10</v>
      </c>
      <c r="T735" t="s">
        <v>738</v>
      </c>
      <c r="U735">
        <v>450</v>
      </c>
      <c r="V735">
        <v>180</v>
      </c>
      <c r="W735">
        <v>3.5</v>
      </c>
      <c r="X735" t="s">
        <v>278</v>
      </c>
      <c r="Y735">
        <v>8</v>
      </c>
      <c r="Z735">
        <v>0.12</v>
      </c>
      <c r="AA735">
        <v>0.1</v>
      </c>
      <c r="AB735">
        <v>4500</v>
      </c>
      <c r="AC735">
        <v>4050</v>
      </c>
      <c r="AD735">
        <v>35</v>
      </c>
      <c r="AE735">
        <v>486</v>
      </c>
      <c r="AF735">
        <v>486</v>
      </c>
      <c r="AG735">
        <v>1800</v>
      </c>
      <c r="AH735">
        <v>1278</v>
      </c>
      <c r="AI735" s="5">
        <v>0.31555555555555598</v>
      </c>
    </row>
    <row r="736" spans="14:35" x14ac:dyDescent="0.25">
      <c r="N736" t="s">
        <v>758</v>
      </c>
      <c r="O736" s="1">
        <v>46152.5</v>
      </c>
      <c r="P736" t="s">
        <v>737</v>
      </c>
      <c r="Q736" t="s">
        <v>277</v>
      </c>
      <c r="R736" t="s">
        <v>29</v>
      </c>
      <c r="S736">
        <v>126</v>
      </c>
      <c r="T736" t="s">
        <v>738</v>
      </c>
      <c r="U736">
        <v>450</v>
      </c>
      <c r="V736">
        <v>180</v>
      </c>
      <c r="W736">
        <v>3.5</v>
      </c>
      <c r="X736" t="s">
        <v>278</v>
      </c>
      <c r="Y736">
        <v>8</v>
      </c>
      <c r="Z736">
        <v>0.12</v>
      </c>
      <c r="AA736">
        <v>0.1</v>
      </c>
      <c r="AB736">
        <v>56700</v>
      </c>
      <c r="AC736">
        <v>51030</v>
      </c>
      <c r="AD736">
        <v>441</v>
      </c>
      <c r="AE736">
        <v>6123.5999999999995</v>
      </c>
      <c r="AF736">
        <v>6124</v>
      </c>
      <c r="AG736">
        <v>22680</v>
      </c>
      <c r="AH736">
        <v>16102.400000000001</v>
      </c>
      <c r="AI736" s="5">
        <v>0.31554771702919898</v>
      </c>
    </row>
    <row r="737" spans="14:35" x14ac:dyDescent="0.25">
      <c r="N737" t="s">
        <v>759</v>
      </c>
      <c r="O737" s="1">
        <v>46152.833333333336</v>
      </c>
      <c r="P737" t="s">
        <v>737</v>
      </c>
      <c r="Q737" t="s">
        <v>277</v>
      </c>
      <c r="R737" t="s">
        <v>29</v>
      </c>
      <c r="S737">
        <v>115</v>
      </c>
      <c r="T737" t="s">
        <v>738</v>
      </c>
      <c r="U737">
        <v>450</v>
      </c>
      <c r="V737">
        <v>180</v>
      </c>
      <c r="W737">
        <v>3.5</v>
      </c>
      <c r="X737" t="s">
        <v>278</v>
      </c>
      <c r="Y737">
        <v>8</v>
      </c>
      <c r="Z737">
        <v>0.12</v>
      </c>
      <c r="AA737">
        <v>0.1</v>
      </c>
      <c r="AB737">
        <v>51750</v>
      </c>
      <c r="AC737">
        <v>46575</v>
      </c>
      <c r="AD737">
        <v>402.5</v>
      </c>
      <c r="AE737">
        <v>5589</v>
      </c>
      <c r="AF737">
        <v>5589</v>
      </c>
      <c r="AG737">
        <v>20700</v>
      </c>
      <c r="AH737">
        <v>14697</v>
      </c>
      <c r="AI737" s="5">
        <v>0.31555555555555598</v>
      </c>
    </row>
    <row r="738" spans="14:35" x14ac:dyDescent="0.25">
      <c r="N738" t="s">
        <v>760</v>
      </c>
      <c r="O738" s="1">
        <v>46154.25</v>
      </c>
      <c r="P738" t="s">
        <v>737</v>
      </c>
      <c r="Q738" t="s">
        <v>277</v>
      </c>
      <c r="R738" t="s">
        <v>32</v>
      </c>
      <c r="S738">
        <v>145</v>
      </c>
      <c r="T738" t="s">
        <v>738</v>
      </c>
      <c r="U738">
        <v>450</v>
      </c>
      <c r="V738">
        <v>180</v>
      </c>
      <c r="W738">
        <v>3.5</v>
      </c>
      <c r="X738" t="s">
        <v>278</v>
      </c>
      <c r="Y738">
        <v>8</v>
      </c>
      <c r="Z738">
        <v>0.12</v>
      </c>
      <c r="AA738">
        <v>0.05</v>
      </c>
      <c r="AB738">
        <v>65250</v>
      </c>
      <c r="AC738">
        <v>61988</v>
      </c>
      <c r="AD738">
        <v>507.5</v>
      </c>
      <c r="AE738">
        <v>7438.5599999999995</v>
      </c>
      <c r="AF738">
        <v>7439</v>
      </c>
      <c r="AG738">
        <v>26100</v>
      </c>
      <c r="AH738">
        <v>21010.440000000002</v>
      </c>
      <c r="AI738" s="5">
        <v>0.33894366651609997</v>
      </c>
    </row>
    <row r="739" spans="14:35" x14ac:dyDescent="0.25">
      <c r="N739" t="s">
        <v>761</v>
      </c>
      <c r="O739" s="1">
        <v>46154.375</v>
      </c>
      <c r="P739" t="s">
        <v>737</v>
      </c>
      <c r="Q739" t="s">
        <v>277</v>
      </c>
      <c r="R739" t="s">
        <v>24</v>
      </c>
      <c r="S739">
        <v>46</v>
      </c>
      <c r="T739" t="s">
        <v>738</v>
      </c>
      <c r="U739">
        <v>450</v>
      </c>
      <c r="V739">
        <v>180</v>
      </c>
      <c r="W739">
        <v>3.5</v>
      </c>
      <c r="X739" t="s">
        <v>278</v>
      </c>
      <c r="Y739">
        <v>8</v>
      </c>
      <c r="Z739">
        <v>0.12</v>
      </c>
      <c r="AA739">
        <v>0.02</v>
      </c>
      <c r="AB739">
        <v>20700</v>
      </c>
      <c r="AC739">
        <v>20286</v>
      </c>
      <c r="AD739">
        <v>161</v>
      </c>
      <c r="AE739">
        <v>2434.3199999999997</v>
      </c>
      <c r="AF739">
        <v>2434</v>
      </c>
      <c r="AG739">
        <v>8280</v>
      </c>
      <c r="AH739">
        <v>7137.68</v>
      </c>
      <c r="AI739" s="5">
        <v>0.35185250911958998</v>
      </c>
    </row>
    <row r="740" spans="14:35" x14ac:dyDescent="0.25">
      <c r="N740" t="s">
        <v>762</v>
      </c>
      <c r="O740" s="1">
        <v>46155</v>
      </c>
      <c r="P740" t="s">
        <v>737</v>
      </c>
      <c r="Q740" t="s">
        <v>277</v>
      </c>
      <c r="R740" t="s">
        <v>24</v>
      </c>
      <c r="S740">
        <v>48</v>
      </c>
      <c r="T740" t="s">
        <v>738</v>
      </c>
      <c r="U740">
        <v>450</v>
      </c>
      <c r="V740">
        <v>180</v>
      </c>
      <c r="W740">
        <v>3.5</v>
      </c>
      <c r="X740" t="s">
        <v>278</v>
      </c>
      <c r="Y740">
        <v>8</v>
      </c>
      <c r="Z740">
        <v>0.12</v>
      </c>
      <c r="AA740">
        <v>0.02</v>
      </c>
      <c r="AB740">
        <v>21600</v>
      </c>
      <c r="AC740">
        <v>21168</v>
      </c>
      <c r="AD740">
        <v>168</v>
      </c>
      <c r="AE740">
        <v>2540.16</v>
      </c>
      <c r="AF740">
        <v>2540</v>
      </c>
      <c r="AG740">
        <v>8640</v>
      </c>
      <c r="AH740">
        <v>7447.84</v>
      </c>
      <c r="AI740" s="5">
        <v>0.35184429327286498</v>
      </c>
    </row>
    <row r="741" spans="14:35" x14ac:dyDescent="0.25">
      <c r="N741" t="s">
        <v>763</v>
      </c>
      <c r="O741" s="1">
        <v>46155.625</v>
      </c>
      <c r="P741" t="s">
        <v>737</v>
      </c>
      <c r="Q741" t="s">
        <v>277</v>
      </c>
      <c r="R741" t="s">
        <v>29</v>
      </c>
      <c r="S741">
        <v>160</v>
      </c>
      <c r="T741" t="s">
        <v>738</v>
      </c>
      <c r="U741">
        <v>450</v>
      </c>
      <c r="V741">
        <v>180</v>
      </c>
      <c r="W741">
        <v>3.5</v>
      </c>
      <c r="X741" t="s">
        <v>278</v>
      </c>
      <c r="Y741">
        <v>8</v>
      </c>
      <c r="Z741">
        <v>0.12</v>
      </c>
      <c r="AA741">
        <v>0.1</v>
      </c>
      <c r="AB741">
        <v>72000</v>
      </c>
      <c r="AC741">
        <v>64800</v>
      </c>
      <c r="AD741">
        <v>560</v>
      </c>
      <c r="AE741">
        <v>7776</v>
      </c>
      <c r="AF741">
        <v>7776</v>
      </c>
      <c r="AG741">
        <v>28800</v>
      </c>
      <c r="AH741">
        <v>20448</v>
      </c>
      <c r="AI741" s="5">
        <v>0.31555555555555598</v>
      </c>
    </row>
    <row r="742" spans="14:35" x14ac:dyDescent="0.25">
      <c r="N742" t="s">
        <v>764</v>
      </c>
      <c r="O742" s="1">
        <v>46155.791666666664</v>
      </c>
      <c r="P742" t="s">
        <v>737</v>
      </c>
      <c r="Q742" t="s">
        <v>277</v>
      </c>
      <c r="R742" t="s">
        <v>29</v>
      </c>
      <c r="S742">
        <v>109</v>
      </c>
      <c r="T742" t="s">
        <v>738</v>
      </c>
      <c r="U742">
        <v>450</v>
      </c>
      <c r="V742">
        <v>180</v>
      </c>
      <c r="W742">
        <v>3.5</v>
      </c>
      <c r="X742" t="s">
        <v>278</v>
      </c>
      <c r="Y742">
        <v>8</v>
      </c>
      <c r="Z742">
        <v>0.12</v>
      </c>
      <c r="AA742">
        <v>0.1</v>
      </c>
      <c r="AB742">
        <v>49050</v>
      </c>
      <c r="AC742">
        <v>44145</v>
      </c>
      <c r="AD742">
        <v>381.5</v>
      </c>
      <c r="AE742">
        <v>5297.4</v>
      </c>
      <c r="AF742">
        <v>5297</v>
      </c>
      <c r="AG742">
        <v>19620</v>
      </c>
      <c r="AH742">
        <v>13930.599999999999</v>
      </c>
      <c r="AI742" s="5">
        <v>0.31556461660437202</v>
      </c>
    </row>
    <row r="743" spans="14:35" x14ac:dyDescent="0.25">
      <c r="N743" t="s">
        <v>765</v>
      </c>
      <c r="O743" s="1">
        <v>46155.916666666664</v>
      </c>
      <c r="P743" t="s">
        <v>737</v>
      </c>
      <c r="Q743" t="s">
        <v>277</v>
      </c>
      <c r="R743" t="s">
        <v>32</v>
      </c>
      <c r="S743">
        <v>45</v>
      </c>
      <c r="T743" t="s">
        <v>738</v>
      </c>
      <c r="U743">
        <v>450</v>
      </c>
      <c r="V743">
        <v>180</v>
      </c>
      <c r="W743">
        <v>3.5</v>
      </c>
      <c r="X743" t="s">
        <v>278</v>
      </c>
      <c r="Y743">
        <v>8</v>
      </c>
      <c r="Z743">
        <v>0.12</v>
      </c>
      <c r="AA743">
        <v>0.05</v>
      </c>
      <c r="AB743">
        <v>20250</v>
      </c>
      <c r="AC743">
        <v>19238</v>
      </c>
      <c r="AD743">
        <v>157.5</v>
      </c>
      <c r="AE743">
        <v>2308.56</v>
      </c>
      <c r="AF743">
        <v>2309</v>
      </c>
      <c r="AG743">
        <v>8100</v>
      </c>
      <c r="AH743">
        <v>6520.4400000000005</v>
      </c>
      <c r="AI743" s="5">
        <v>0.33893544027445699</v>
      </c>
    </row>
    <row r="744" spans="14:35" x14ac:dyDescent="0.25">
      <c r="N744" t="s">
        <v>766</v>
      </c>
      <c r="O744" s="1">
        <v>46155.958333333336</v>
      </c>
      <c r="P744" t="s">
        <v>737</v>
      </c>
      <c r="Q744" t="s">
        <v>277</v>
      </c>
      <c r="R744" t="s">
        <v>32</v>
      </c>
      <c r="S744">
        <v>34</v>
      </c>
      <c r="T744" t="s">
        <v>738</v>
      </c>
      <c r="U744">
        <v>450</v>
      </c>
      <c r="V744">
        <v>180</v>
      </c>
      <c r="W744">
        <v>3.5</v>
      </c>
      <c r="X744" t="s">
        <v>278</v>
      </c>
      <c r="Y744">
        <v>8</v>
      </c>
      <c r="Z744">
        <v>0.12</v>
      </c>
      <c r="AA744">
        <v>0.05</v>
      </c>
      <c r="AB744">
        <v>15300</v>
      </c>
      <c r="AC744">
        <v>14535</v>
      </c>
      <c r="AD744">
        <v>119</v>
      </c>
      <c r="AE744">
        <v>1744.2</v>
      </c>
      <c r="AF744">
        <v>1744</v>
      </c>
      <c r="AG744">
        <v>6120</v>
      </c>
      <c r="AH744">
        <v>4926.7999999999993</v>
      </c>
      <c r="AI744" s="5">
        <v>0.33896112831097402</v>
      </c>
    </row>
    <row r="745" spans="14:35" x14ac:dyDescent="0.25">
      <c r="N745" t="s">
        <v>767</v>
      </c>
      <c r="O745" s="1">
        <v>46156.25</v>
      </c>
      <c r="P745" t="s">
        <v>737</v>
      </c>
      <c r="Q745" t="s">
        <v>277</v>
      </c>
      <c r="R745" t="s">
        <v>24</v>
      </c>
      <c r="S745">
        <v>120</v>
      </c>
      <c r="T745" t="s">
        <v>738</v>
      </c>
      <c r="U745">
        <v>450</v>
      </c>
      <c r="V745">
        <v>180</v>
      </c>
      <c r="W745">
        <v>3.5</v>
      </c>
      <c r="X745" t="s">
        <v>278</v>
      </c>
      <c r="Y745">
        <v>8</v>
      </c>
      <c r="Z745">
        <v>0.12</v>
      </c>
      <c r="AA745">
        <v>0.02</v>
      </c>
      <c r="AB745">
        <v>54000</v>
      </c>
      <c r="AC745">
        <v>52920</v>
      </c>
      <c r="AD745">
        <v>420</v>
      </c>
      <c r="AE745">
        <v>6350.4</v>
      </c>
      <c r="AF745">
        <v>6350</v>
      </c>
      <c r="AG745">
        <v>21600</v>
      </c>
      <c r="AH745">
        <v>18619.599999999999</v>
      </c>
      <c r="AI745" s="5">
        <v>0.35184429327286498</v>
      </c>
    </row>
    <row r="746" spans="14:35" x14ac:dyDescent="0.25">
      <c r="N746" t="s">
        <v>768</v>
      </c>
      <c r="O746" s="1">
        <v>46156.625</v>
      </c>
      <c r="P746" t="s">
        <v>737</v>
      </c>
      <c r="Q746" t="s">
        <v>277</v>
      </c>
      <c r="R746" t="s">
        <v>29</v>
      </c>
      <c r="S746">
        <v>171</v>
      </c>
      <c r="T746" t="s">
        <v>738</v>
      </c>
      <c r="U746">
        <v>450</v>
      </c>
      <c r="V746">
        <v>180</v>
      </c>
      <c r="W746">
        <v>3.5</v>
      </c>
      <c r="X746" t="s">
        <v>278</v>
      </c>
      <c r="Y746">
        <v>8</v>
      </c>
      <c r="Z746">
        <v>0.12</v>
      </c>
      <c r="AA746">
        <v>0.1</v>
      </c>
      <c r="AB746">
        <v>76950</v>
      </c>
      <c r="AC746">
        <v>69255</v>
      </c>
      <c r="AD746">
        <v>598.5</v>
      </c>
      <c r="AE746">
        <v>8310.6</v>
      </c>
      <c r="AF746">
        <v>8311</v>
      </c>
      <c r="AG746">
        <v>30780</v>
      </c>
      <c r="AH746">
        <v>21853.4</v>
      </c>
      <c r="AI746" s="5">
        <v>0.315549779799292</v>
      </c>
    </row>
    <row r="747" spans="14:35" x14ac:dyDescent="0.25">
      <c r="N747" t="s">
        <v>769</v>
      </c>
      <c r="O747" s="1">
        <v>46156.75</v>
      </c>
      <c r="P747" t="s">
        <v>737</v>
      </c>
      <c r="Q747" t="s">
        <v>277</v>
      </c>
      <c r="R747" t="s">
        <v>32</v>
      </c>
      <c r="S747">
        <v>89</v>
      </c>
      <c r="T747" t="s">
        <v>738</v>
      </c>
      <c r="U747">
        <v>450</v>
      </c>
      <c r="V747">
        <v>180</v>
      </c>
      <c r="W747">
        <v>3.5</v>
      </c>
      <c r="X747" t="s">
        <v>278</v>
      </c>
      <c r="Y747">
        <v>8</v>
      </c>
      <c r="Z747">
        <v>0.12</v>
      </c>
      <c r="AA747">
        <v>0.05</v>
      </c>
      <c r="AB747">
        <v>40050</v>
      </c>
      <c r="AC747">
        <v>38048</v>
      </c>
      <c r="AD747">
        <v>311.5</v>
      </c>
      <c r="AE747">
        <v>4565.76</v>
      </c>
      <c r="AF747">
        <v>4566</v>
      </c>
      <c r="AG747">
        <v>16020</v>
      </c>
      <c r="AH747">
        <v>12896.239999999998</v>
      </c>
      <c r="AI747" s="5">
        <v>0.338946593776283</v>
      </c>
    </row>
    <row r="748" spans="14:35" x14ac:dyDescent="0.25">
      <c r="N748" t="s">
        <v>770</v>
      </c>
      <c r="O748" s="1">
        <v>46156.791666666664</v>
      </c>
      <c r="P748" t="s">
        <v>737</v>
      </c>
      <c r="Q748" t="s">
        <v>277</v>
      </c>
      <c r="R748" t="s">
        <v>32</v>
      </c>
      <c r="S748">
        <v>193</v>
      </c>
      <c r="T748" t="s">
        <v>738</v>
      </c>
      <c r="U748">
        <v>450</v>
      </c>
      <c r="V748">
        <v>180</v>
      </c>
      <c r="W748">
        <v>3.5</v>
      </c>
      <c r="X748" t="s">
        <v>278</v>
      </c>
      <c r="Y748">
        <v>8</v>
      </c>
      <c r="Z748">
        <v>0.12</v>
      </c>
      <c r="AA748">
        <v>0.05</v>
      </c>
      <c r="AB748">
        <v>86850</v>
      </c>
      <c r="AC748">
        <v>82508</v>
      </c>
      <c r="AD748">
        <v>675.5</v>
      </c>
      <c r="AE748">
        <v>9900.9599999999991</v>
      </c>
      <c r="AF748">
        <v>9901</v>
      </c>
      <c r="AG748">
        <v>34740</v>
      </c>
      <c r="AH748">
        <v>27966.04</v>
      </c>
      <c r="AI748" s="5">
        <v>0.33894943520628301</v>
      </c>
    </row>
    <row r="749" spans="14:35" x14ac:dyDescent="0.25">
      <c r="N749" t="s">
        <v>771</v>
      </c>
      <c r="O749" s="1">
        <v>46157.083333333336</v>
      </c>
      <c r="P749" t="s">
        <v>737</v>
      </c>
      <c r="Q749" t="s">
        <v>277</v>
      </c>
      <c r="R749" t="s">
        <v>32</v>
      </c>
      <c r="S749">
        <v>158</v>
      </c>
      <c r="T749" t="s">
        <v>738</v>
      </c>
      <c r="U749">
        <v>450</v>
      </c>
      <c r="V749">
        <v>180</v>
      </c>
      <c r="W749">
        <v>3.5</v>
      </c>
      <c r="X749" t="s">
        <v>278</v>
      </c>
      <c r="Y749">
        <v>8</v>
      </c>
      <c r="Z749">
        <v>0.12</v>
      </c>
      <c r="AA749">
        <v>0.05</v>
      </c>
      <c r="AB749">
        <v>71100</v>
      </c>
      <c r="AC749">
        <v>67545</v>
      </c>
      <c r="AD749">
        <v>553</v>
      </c>
      <c r="AE749">
        <v>8105.4</v>
      </c>
      <c r="AF749">
        <v>8105</v>
      </c>
      <c r="AG749">
        <v>28440</v>
      </c>
      <c r="AH749">
        <v>22894.6</v>
      </c>
      <c r="AI749" s="5">
        <v>0.33895329039899302</v>
      </c>
    </row>
    <row r="750" spans="14:35" x14ac:dyDescent="0.25">
      <c r="N750" t="s">
        <v>772</v>
      </c>
      <c r="O750" s="1">
        <v>46157.375</v>
      </c>
      <c r="P750" t="s">
        <v>737</v>
      </c>
      <c r="Q750" t="s">
        <v>277</v>
      </c>
      <c r="R750" t="s">
        <v>29</v>
      </c>
      <c r="S750">
        <v>123</v>
      </c>
      <c r="T750" t="s">
        <v>738</v>
      </c>
      <c r="U750">
        <v>450</v>
      </c>
      <c r="V750">
        <v>180</v>
      </c>
      <c r="W750">
        <v>3.5</v>
      </c>
      <c r="X750" t="s">
        <v>278</v>
      </c>
      <c r="Y750">
        <v>8</v>
      </c>
      <c r="Z750">
        <v>0.12</v>
      </c>
      <c r="AA750">
        <v>0.1</v>
      </c>
      <c r="AB750">
        <v>55350</v>
      </c>
      <c r="AC750">
        <v>49815</v>
      </c>
      <c r="AD750">
        <v>430.5</v>
      </c>
      <c r="AE750">
        <v>5977.8</v>
      </c>
      <c r="AF750">
        <v>5978</v>
      </c>
      <c r="AG750">
        <v>22140</v>
      </c>
      <c r="AH750">
        <v>15719.199999999997</v>
      </c>
      <c r="AI750" s="5">
        <v>0.31555154070059199</v>
      </c>
    </row>
    <row r="751" spans="14:35" x14ac:dyDescent="0.25">
      <c r="N751" t="s">
        <v>773</v>
      </c>
      <c r="O751" s="1">
        <v>46157.75</v>
      </c>
      <c r="P751" t="s">
        <v>737</v>
      </c>
      <c r="Q751" t="s">
        <v>277</v>
      </c>
      <c r="R751" t="s">
        <v>29</v>
      </c>
      <c r="S751">
        <v>55</v>
      </c>
      <c r="T751" t="s">
        <v>738</v>
      </c>
      <c r="U751">
        <v>450</v>
      </c>
      <c r="V751">
        <v>180</v>
      </c>
      <c r="W751">
        <v>3.5</v>
      </c>
      <c r="X751" t="s">
        <v>278</v>
      </c>
      <c r="Y751">
        <v>8</v>
      </c>
      <c r="Z751">
        <v>0.12</v>
      </c>
      <c r="AA751">
        <v>0.1</v>
      </c>
      <c r="AB751">
        <v>24750</v>
      </c>
      <c r="AC751">
        <v>22275</v>
      </c>
      <c r="AD751">
        <v>192.5</v>
      </c>
      <c r="AE751">
        <v>2673</v>
      </c>
      <c r="AF751">
        <v>2673</v>
      </c>
      <c r="AG751">
        <v>9900</v>
      </c>
      <c r="AH751">
        <v>7029</v>
      </c>
      <c r="AI751" s="5">
        <v>0.31555555555555598</v>
      </c>
    </row>
    <row r="752" spans="14:35" x14ac:dyDescent="0.25">
      <c r="N752" t="s">
        <v>774</v>
      </c>
      <c r="O752" s="1">
        <v>46157.833333333336</v>
      </c>
      <c r="P752" t="s">
        <v>737</v>
      </c>
      <c r="Q752" t="s">
        <v>277</v>
      </c>
      <c r="R752" t="s">
        <v>29</v>
      </c>
      <c r="S752">
        <v>18</v>
      </c>
      <c r="T752" t="s">
        <v>738</v>
      </c>
      <c r="U752">
        <v>450</v>
      </c>
      <c r="V752">
        <v>180</v>
      </c>
      <c r="W752">
        <v>3.5</v>
      </c>
      <c r="X752" t="s">
        <v>278</v>
      </c>
      <c r="Y752">
        <v>8</v>
      </c>
      <c r="Z752">
        <v>0.12</v>
      </c>
      <c r="AA752">
        <v>0.1</v>
      </c>
      <c r="AB752">
        <v>8100</v>
      </c>
      <c r="AC752">
        <v>7290</v>
      </c>
      <c r="AD752">
        <v>63</v>
      </c>
      <c r="AE752">
        <v>874.8</v>
      </c>
      <c r="AF752">
        <v>875</v>
      </c>
      <c r="AG752">
        <v>3240</v>
      </c>
      <c r="AH752">
        <v>2300.1999999999998</v>
      </c>
      <c r="AI752" s="5">
        <v>0.31552812071330599</v>
      </c>
    </row>
    <row r="753" spans="14:35" x14ac:dyDescent="0.25">
      <c r="N753" t="s">
        <v>775</v>
      </c>
      <c r="O753" s="1">
        <v>46158</v>
      </c>
      <c r="P753" t="s">
        <v>737</v>
      </c>
      <c r="Q753" t="s">
        <v>277</v>
      </c>
      <c r="R753" t="s">
        <v>24</v>
      </c>
      <c r="S753">
        <v>140</v>
      </c>
      <c r="T753" t="s">
        <v>738</v>
      </c>
      <c r="U753">
        <v>450</v>
      </c>
      <c r="V753">
        <v>180</v>
      </c>
      <c r="W753">
        <v>3.5</v>
      </c>
      <c r="X753" t="s">
        <v>278</v>
      </c>
      <c r="Y753">
        <v>8</v>
      </c>
      <c r="Z753">
        <v>0.12</v>
      </c>
      <c r="AA753">
        <v>0.02</v>
      </c>
      <c r="AB753">
        <v>63000</v>
      </c>
      <c r="AC753">
        <v>61740</v>
      </c>
      <c r="AD753">
        <v>490</v>
      </c>
      <c r="AE753">
        <v>7408.7999999999993</v>
      </c>
      <c r="AF753">
        <v>7409</v>
      </c>
      <c r="AG753">
        <v>25200</v>
      </c>
      <c r="AH753">
        <v>21722.199999999997</v>
      </c>
      <c r="AI753" s="5">
        <v>0.35183349530288299</v>
      </c>
    </row>
    <row r="754" spans="14:35" x14ac:dyDescent="0.25">
      <c r="N754" t="s">
        <v>776</v>
      </c>
      <c r="O754" s="1">
        <v>46158.125</v>
      </c>
      <c r="P754" t="s">
        <v>737</v>
      </c>
      <c r="Q754" t="s">
        <v>277</v>
      </c>
      <c r="R754" t="s">
        <v>32</v>
      </c>
      <c r="S754">
        <v>67</v>
      </c>
      <c r="T754" t="s">
        <v>738</v>
      </c>
      <c r="U754">
        <v>450</v>
      </c>
      <c r="V754">
        <v>180</v>
      </c>
      <c r="W754">
        <v>3.5</v>
      </c>
      <c r="X754" t="s">
        <v>278</v>
      </c>
      <c r="Y754">
        <v>8</v>
      </c>
      <c r="Z754">
        <v>0.12</v>
      </c>
      <c r="AA754">
        <v>0.05</v>
      </c>
      <c r="AB754">
        <v>30150</v>
      </c>
      <c r="AC754">
        <v>28642</v>
      </c>
      <c r="AD754">
        <v>234.5</v>
      </c>
      <c r="AE754">
        <v>3437.04</v>
      </c>
      <c r="AF754">
        <v>3437</v>
      </c>
      <c r="AG754">
        <v>12060</v>
      </c>
      <c r="AH754">
        <v>9707.9599999999991</v>
      </c>
      <c r="AI754" s="5">
        <v>0.33894141470567701</v>
      </c>
    </row>
    <row r="755" spans="14:35" x14ac:dyDescent="0.25">
      <c r="N755" t="s">
        <v>777</v>
      </c>
      <c r="O755" s="1">
        <v>46158.5</v>
      </c>
      <c r="P755" t="s">
        <v>737</v>
      </c>
      <c r="Q755" t="s">
        <v>277</v>
      </c>
      <c r="R755" t="s">
        <v>29</v>
      </c>
      <c r="S755">
        <v>91</v>
      </c>
      <c r="T755" t="s">
        <v>738</v>
      </c>
      <c r="U755">
        <v>450</v>
      </c>
      <c r="V755">
        <v>180</v>
      </c>
      <c r="W755">
        <v>3.5</v>
      </c>
      <c r="X755" t="s">
        <v>278</v>
      </c>
      <c r="Y755">
        <v>8</v>
      </c>
      <c r="Z755">
        <v>0.12</v>
      </c>
      <c r="AA755">
        <v>0.1</v>
      </c>
      <c r="AB755">
        <v>40950</v>
      </c>
      <c r="AC755">
        <v>36855</v>
      </c>
      <c r="AD755">
        <v>318.5</v>
      </c>
      <c r="AE755">
        <v>4422.5999999999995</v>
      </c>
      <c r="AF755">
        <v>4423</v>
      </c>
      <c r="AG755">
        <v>16380</v>
      </c>
      <c r="AH755">
        <v>11629.400000000001</v>
      </c>
      <c r="AI755" s="5">
        <v>0.31554470221136899</v>
      </c>
    </row>
    <row r="756" spans="14:35" x14ac:dyDescent="0.25">
      <c r="N756" t="s">
        <v>778</v>
      </c>
      <c r="O756" s="1">
        <v>46158.875</v>
      </c>
      <c r="P756" t="s">
        <v>737</v>
      </c>
      <c r="Q756" t="s">
        <v>277</v>
      </c>
      <c r="R756" t="s">
        <v>29</v>
      </c>
      <c r="S756">
        <v>75</v>
      </c>
      <c r="T756" t="s">
        <v>738</v>
      </c>
      <c r="U756">
        <v>450</v>
      </c>
      <c r="V756">
        <v>180</v>
      </c>
      <c r="W756">
        <v>3.5</v>
      </c>
      <c r="X756" t="s">
        <v>278</v>
      </c>
      <c r="Y756">
        <v>8</v>
      </c>
      <c r="Z756">
        <v>0.12</v>
      </c>
      <c r="AA756">
        <v>0.1</v>
      </c>
      <c r="AB756">
        <v>33750</v>
      </c>
      <c r="AC756">
        <v>30375</v>
      </c>
      <c r="AD756">
        <v>262.5</v>
      </c>
      <c r="AE756">
        <v>3645</v>
      </c>
      <c r="AF756">
        <v>3645</v>
      </c>
      <c r="AG756">
        <v>13500</v>
      </c>
      <c r="AH756">
        <v>9585</v>
      </c>
      <c r="AI756" s="5">
        <v>0.31555555555555598</v>
      </c>
    </row>
    <row r="757" spans="14:35" x14ac:dyDescent="0.25">
      <c r="N757" t="s">
        <v>779</v>
      </c>
      <c r="O757" s="1">
        <v>46158.958333333336</v>
      </c>
      <c r="P757" t="s">
        <v>737</v>
      </c>
      <c r="Q757" t="s">
        <v>277</v>
      </c>
      <c r="R757" t="s">
        <v>29</v>
      </c>
      <c r="S757">
        <v>18</v>
      </c>
      <c r="T757" t="s">
        <v>738</v>
      </c>
      <c r="U757">
        <v>450</v>
      </c>
      <c r="V757">
        <v>180</v>
      </c>
      <c r="W757">
        <v>3.5</v>
      </c>
      <c r="X757" t="s">
        <v>278</v>
      </c>
      <c r="Y757">
        <v>8</v>
      </c>
      <c r="Z757">
        <v>0.12</v>
      </c>
      <c r="AA757">
        <v>0.1</v>
      </c>
      <c r="AB757">
        <v>8100</v>
      </c>
      <c r="AC757">
        <v>7290</v>
      </c>
      <c r="AD757">
        <v>63</v>
      </c>
      <c r="AE757">
        <v>874.8</v>
      </c>
      <c r="AF757">
        <v>875</v>
      </c>
      <c r="AG757">
        <v>3240</v>
      </c>
      <c r="AH757">
        <v>2300.1999999999998</v>
      </c>
      <c r="AI757" s="5">
        <v>0.31552812071330599</v>
      </c>
    </row>
    <row r="758" spans="14:35" x14ac:dyDescent="0.25">
      <c r="N758" t="s">
        <v>780</v>
      </c>
      <c r="O758" s="1">
        <v>46159.041666666664</v>
      </c>
      <c r="P758" t="s">
        <v>737</v>
      </c>
      <c r="Q758" t="s">
        <v>277</v>
      </c>
      <c r="R758" t="s">
        <v>29</v>
      </c>
      <c r="S758">
        <v>114</v>
      </c>
      <c r="T758" t="s">
        <v>738</v>
      </c>
      <c r="U758">
        <v>450</v>
      </c>
      <c r="V758">
        <v>180</v>
      </c>
      <c r="W758">
        <v>3.5</v>
      </c>
      <c r="X758" t="s">
        <v>278</v>
      </c>
      <c r="Y758">
        <v>8</v>
      </c>
      <c r="Z758">
        <v>0.12</v>
      </c>
      <c r="AA758">
        <v>0.1</v>
      </c>
      <c r="AB758">
        <v>51300</v>
      </c>
      <c r="AC758">
        <v>46170</v>
      </c>
      <c r="AD758">
        <v>399</v>
      </c>
      <c r="AE758">
        <v>5540.4</v>
      </c>
      <c r="AF758">
        <v>5540</v>
      </c>
      <c r="AG758">
        <v>20520</v>
      </c>
      <c r="AH758">
        <v>14569.599999999999</v>
      </c>
      <c r="AI758" s="5">
        <v>0.31556421918994998</v>
      </c>
    </row>
    <row r="759" spans="14:35" x14ac:dyDescent="0.25">
      <c r="N759" t="s">
        <v>781</v>
      </c>
      <c r="O759" s="1">
        <v>46159.625</v>
      </c>
      <c r="P759" t="s">
        <v>737</v>
      </c>
      <c r="Q759" t="s">
        <v>277</v>
      </c>
      <c r="R759" t="s">
        <v>32</v>
      </c>
      <c r="S759">
        <v>19</v>
      </c>
      <c r="T759" t="s">
        <v>738</v>
      </c>
      <c r="U759">
        <v>450</v>
      </c>
      <c r="V759">
        <v>180</v>
      </c>
      <c r="W759">
        <v>3.5</v>
      </c>
      <c r="X759" t="s">
        <v>278</v>
      </c>
      <c r="Y759">
        <v>8</v>
      </c>
      <c r="Z759">
        <v>0.12</v>
      </c>
      <c r="AA759">
        <v>0.05</v>
      </c>
      <c r="AB759">
        <v>8550</v>
      </c>
      <c r="AC759">
        <v>8122</v>
      </c>
      <c r="AD759">
        <v>66.5</v>
      </c>
      <c r="AE759">
        <v>974.64</v>
      </c>
      <c r="AF759">
        <v>975</v>
      </c>
      <c r="AG759">
        <v>3420</v>
      </c>
      <c r="AH759">
        <v>2752.3599999999997</v>
      </c>
      <c r="AI759" s="5">
        <v>0.33887712386111801</v>
      </c>
    </row>
    <row r="760" spans="14:35" x14ac:dyDescent="0.25">
      <c r="N760" t="s">
        <v>782</v>
      </c>
      <c r="O760" s="1">
        <v>46160.333333333336</v>
      </c>
      <c r="P760" t="s">
        <v>737</v>
      </c>
      <c r="Q760" t="s">
        <v>277</v>
      </c>
      <c r="R760" t="s">
        <v>32</v>
      </c>
      <c r="S760">
        <v>163</v>
      </c>
      <c r="T760" t="s">
        <v>738</v>
      </c>
      <c r="U760">
        <v>450</v>
      </c>
      <c r="V760">
        <v>180</v>
      </c>
      <c r="W760">
        <v>3.5</v>
      </c>
      <c r="X760" t="s">
        <v>278</v>
      </c>
      <c r="Y760">
        <v>8</v>
      </c>
      <c r="Z760">
        <v>0.12</v>
      </c>
      <c r="AA760">
        <v>0.05</v>
      </c>
      <c r="AB760">
        <v>73350</v>
      </c>
      <c r="AC760">
        <v>69682</v>
      </c>
      <c r="AD760">
        <v>570.5</v>
      </c>
      <c r="AE760">
        <v>8361.84</v>
      </c>
      <c r="AF760">
        <v>8362</v>
      </c>
      <c r="AG760">
        <v>29340</v>
      </c>
      <c r="AH760">
        <v>23618.160000000003</v>
      </c>
      <c r="AI760" s="5">
        <v>0.33894205103183001</v>
      </c>
    </row>
    <row r="761" spans="14:35" x14ac:dyDescent="0.25">
      <c r="N761" t="s">
        <v>783</v>
      </c>
      <c r="O761" s="1">
        <v>46160.75</v>
      </c>
      <c r="P761" t="s">
        <v>737</v>
      </c>
      <c r="Q761" t="s">
        <v>277</v>
      </c>
      <c r="R761" t="s">
        <v>24</v>
      </c>
      <c r="S761">
        <v>112</v>
      </c>
      <c r="T761" t="s">
        <v>738</v>
      </c>
      <c r="U761">
        <v>450</v>
      </c>
      <c r="V761">
        <v>180</v>
      </c>
      <c r="W761">
        <v>3.5</v>
      </c>
      <c r="X761" t="s">
        <v>278</v>
      </c>
      <c r="Y761">
        <v>8</v>
      </c>
      <c r="Z761">
        <v>0.12</v>
      </c>
      <c r="AA761">
        <v>0.02</v>
      </c>
      <c r="AB761">
        <v>50400</v>
      </c>
      <c r="AC761">
        <v>49392</v>
      </c>
      <c r="AD761">
        <v>392</v>
      </c>
      <c r="AE761">
        <v>5927.04</v>
      </c>
      <c r="AF761">
        <v>5927</v>
      </c>
      <c r="AG761">
        <v>20160</v>
      </c>
      <c r="AH761">
        <v>17377.96</v>
      </c>
      <c r="AI761" s="5">
        <v>0.35183754454162602</v>
      </c>
    </row>
    <row r="762" spans="14:35" x14ac:dyDescent="0.25">
      <c r="N762" t="s">
        <v>784</v>
      </c>
      <c r="O762" s="1">
        <v>46160.875</v>
      </c>
      <c r="P762" t="s">
        <v>737</v>
      </c>
      <c r="Q762" t="s">
        <v>277</v>
      </c>
      <c r="R762" t="s">
        <v>32</v>
      </c>
      <c r="S762">
        <v>46</v>
      </c>
      <c r="T762" t="s">
        <v>738</v>
      </c>
      <c r="U762">
        <v>450</v>
      </c>
      <c r="V762">
        <v>180</v>
      </c>
      <c r="W762">
        <v>3.5</v>
      </c>
      <c r="X762" t="s">
        <v>278</v>
      </c>
      <c r="Y762">
        <v>8</v>
      </c>
      <c r="Z762">
        <v>0.12</v>
      </c>
      <c r="AA762">
        <v>0.05</v>
      </c>
      <c r="AB762">
        <v>20700</v>
      </c>
      <c r="AC762">
        <v>19665</v>
      </c>
      <c r="AD762">
        <v>161</v>
      </c>
      <c r="AE762">
        <v>2359.7999999999997</v>
      </c>
      <c r="AF762">
        <v>2360</v>
      </c>
      <c r="AG762">
        <v>8280</v>
      </c>
      <c r="AH762">
        <v>6665.2000000000007</v>
      </c>
      <c r="AI762" s="5">
        <v>0.33893719806763301</v>
      </c>
    </row>
    <row r="763" spans="14:35" x14ac:dyDescent="0.25">
      <c r="N763" t="s">
        <v>785</v>
      </c>
      <c r="O763" s="1">
        <v>46161.25</v>
      </c>
      <c r="P763" t="s">
        <v>737</v>
      </c>
      <c r="Q763" t="s">
        <v>277</v>
      </c>
      <c r="R763" t="s">
        <v>24</v>
      </c>
      <c r="S763">
        <v>152</v>
      </c>
      <c r="T763" t="s">
        <v>738</v>
      </c>
      <c r="U763">
        <v>450</v>
      </c>
      <c r="V763">
        <v>180</v>
      </c>
      <c r="W763">
        <v>3.5</v>
      </c>
      <c r="X763" t="s">
        <v>278</v>
      </c>
      <c r="Y763">
        <v>8</v>
      </c>
      <c r="Z763">
        <v>0.12</v>
      </c>
      <c r="AA763">
        <v>0.02</v>
      </c>
      <c r="AB763">
        <v>68400</v>
      </c>
      <c r="AC763">
        <v>67032</v>
      </c>
      <c r="AD763">
        <v>532</v>
      </c>
      <c r="AE763">
        <v>8043.84</v>
      </c>
      <c r="AF763">
        <v>8044</v>
      </c>
      <c r="AG763">
        <v>27360</v>
      </c>
      <c r="AH763">
        <v>23584.160000000003</v>
      </c>
      <c r="AI763" s="5">
        <v>0.35183434777419798</v>
      </c>
    </row>
    <row r="764" spans="14:35" x14ac:dyDescent="0.25">
      <c r="N764" t="s">
        <v>786</v>
      </c>
      <c r="O764" s="1">
        <v>46161.416666666664</v>
      </c>
      <c r="P764" t="s">
        <v>737</v>
      </c>
      <c r="Q764" t="s">
        <v>277</v>
      </c>
      <c r="R764" t="s">
        <v>32</v>
      </c>
      <c r="S764">
        <v>153</v>
      </c>
      <c r="T764" t="s">
        <v>738</v>
      </c>
      <c r="U764">
        <v>450</v>
      </c>
      <c r="V764">
        <v>180</v>
      </c>
      <c r="W764">
        <v>3.5</v>
      </c>
      <c r="X764" t="s">
        <v>278</v>
      </c>
      <c r="Y764">
        <v>8</v>
      </c>
      <c r="Z764">
        <v>0.12</v>
      </c>
      <c r="AA764">
        <v>0.05</v>
      </c>
      <c r="AB764">
        <v>68850</v>
      </c>
      <c r="AC764">
        <v>65408</v>
      </c>
      <c r="AD764">
        <v>535.5</v>
      </c>
      <c r="AE764">
        <v>7848.96</v>
      </c>
      <c r="AF764">
        <v>7849</v>
      </c>
      <c r="AG764">
        <v>27540</v>
      </c>
      <c r="AH764">
        <v>22170.04</v>
      </c>
      <c r="AI764" s="5">
        <v>0.33894997553815998</v>
      </c>
    </row>
    <row r="765" spans="14:35" x14ac:dyDescent="0.25">
      <c r="N765" t="s">
        <v>787</v>
      </c>
      <c r="O765" s="1">
        <v>46161.708333333336</v>
      </c>
      <c r="P765" t="s">
        <v>737</v>
      </c>
      <c r="Q765" t="s">
        <v>277</v>
      </c>
      <c r="R765" t="s">
        <v>32</v>
      </c>
      <c r="S765">
        <v>163</v>
      </c>
      <c r="T765" t="s">
        <v>738</v>
      </c>
      <c r="U765">
        <v>450</v>
      </c>
      <c r="V765">
        <v>180</v>
      </c>
      <c r="W765">
        <v>3.5</v>
      </c>
      <c r="X765" t="s">
        <v>278</v>
      </c>
      <c r="Y765">
        <v>8</v>
      </c>
      <c r="Z765">
        <v>0.12</v>
      </c>
      <c r="AA765">
        <v>0.05</v>
      </c>
      <c r="AB765">
        <v>73350</v>
      </c>
      <c r="AC765">
        <v>69682</v>
      </c>
      <c r="AD765">
        <v>570.5</v>
      </c>
      <c r="AE765">
        <v>8361.84</v>
      </c>
      <c r="AF765">
        <v>8362</v>
      </c>
      <c r="AG765">
        <v>29340</v>
      </c>
      <c r="AH765">
        <v>23618.160000000003</v>
      </c>
      <c r="AI765" s="5">
        <v>0.33894205103183001</v>
      </c>
    </row>
    <row r="766" spans="14:35" x14ac:dyDescent="0.25">
      <c r="N766" t="s">
        <v>788</v>
      </c>
      <c r="O766" s="1">
        <v>46162.041666666664</v>
      </c>
      <c r="P766" t="s">
        <v>737</v>
      </c>
      <c r="Q766" t="s">
        <v>277</v>
      </c>
      <c r="R766" t="s">
        <v>24</v>
      </c>
      <c r="S766">
        <v>85</v>
      </c>
      <c r="T766" t="s">
        <v>738</v>
      </c>
      <c r="U766">
        <v>450</v>
      </c>
      <c r="V766">
        <v>180</v>
      </c>
      <c r="W766">
        <v>3.5</v>
      </c>
      <c r="X766" t="s">
        <v>278</v>
      </c>
      <c r="Y766">
        <v>8</v>
      </c>
      <c r="Z766">
        <v>0.12</v>
      </c>
      <c r="AA766">
        <v>0.02</v>
      </c>
      <c r="AB766">
        <v>38250</v>
      </c>
      <c r="AC766">
        <v>37485</v>
      </c>
      <c r="AD766">
        <v>297.5</v>
      </c>
      <c r="AE766">
        <v>4498.2</v>
      </c>
      <c r="AF766">
        <v>4498</v>
      </c>
      <c r="AG766">
        <v>15300</v>
      </c>
      <c r="AH766">
        <v>13188.8</v>
      </c>
      <c r="AI766" s="5">
        <v>0.35184207016139801</v>
      </c>
    </row>
    <row r="767" spans="14:35" x14ac:dyDescent="0.25">
      <c r="N767" t="s">
        <v>789</v>
      </c>
      <c r="O767" s="1">
        <v>46162.208333333336</v>
      </c>
      <c r="P767" t="s">
        <v>737</v>
      </c>
      <c r="Q767" t="s">
        <v>277</v>
      </c>
      <c r="R767" t="s">
        <v>24</v>
      </c>
      <c r="S767">
        <v>41</v>
      </c>
      <c r="T767" t="s">
        <v>738</v>
      </c>
      <c r="U767">
        <v>450</v>
      </c>
      <c r="V767">
        <v>180</v>
      </c>
      <c r="W767">
        <v>3.5</v>
      </c>
      <c r="X767" t="s">
        <v>278</v>
      </c>
      <c r="Y767">
        <v>8</v>
      </c>
      <c r="Z767">
        <v>0.12</v>
      </c>
      <c r="AA767">
        <v>0.02</v>
      </c>
      <c r="AB767">
        <v>18450</v>
      </c>
      <c r="AC767">
        <v>18081</v>
      </c>
      <c r="AD767">
        <v>143.5</v>
      </c>
      <c r="AE767">
        <v>2169.7199999999998</v>
      </c>
      <c r="AF767">
        <v>2170</v>
      </c>
      <c r="AG767">
        <v>7380</v>
      </c>
      <c r="AH767">
        <v>6361.2800000000007</v>
      </c>
      <c r="AI767" s="5">
        <v>0.35182124882473298</v>
      </c>
    </row>
    <row r="768" spans="14:35" x14ac:dyDescent="0.25">
      <c r="N768" t="s">
        <v>790</v>
      </c>
      <c r="O768" s="1">
        <v>46162.25</v>
      </c>
      <c r="P768" t="s">
        <v>737</v>
      </c>
      <c r="Q768" t="s">
        <v>277</v>
      </c>
      <c r="R768" t="s">
        <v>24</v>
      </c>
      <c r="S768">
        <v>57</v>
      </c>
      <c r="T768" t="s">
        <v>738</v>
      </c>
      <c r="U768">
        <v>450</v>
      </c>
      <c r="V768">
        <v>180</v>
      </c>
      <c r="W768">
        <v>3.5</v>
      </c>
      <c r="X768" t="s">
        <v>278</v>
      </c>
      <c r="Y768">
        <v>8</v>
      </c>
      <c r="Z768">
        <v>0.12</v>
      </c>
      <c r="AA768">
        <v>0.02</v>
      </c>
      <c r="AB768">
        <v>25650</v>
      </c>
      <c r="AC768">
        <v>25137</v>
      </c>
      <c r="AD768">
        <v>199.5</v>
      </c>
      <c r="AE768">
        <v>3016.44</v>
      </c>
      <c r="AF768">
        <v>3016</v>
      </c>
      <c r="AG768">
        <v>10260</v>
      </c>
      <c r="AH768">
        <v>8844.56</v>
      </c>
      <c r="AI768" s="5">
        <v>0.35185423877153199</v>
      </c>
    </row>
    <row r="769" spans="14:35" x14ac:dyDescent="0.25">
      <c r="N769" t="s">
        <v>791</v>
      </c>
      <c r="O769" s="1">
        <v>46162.416666666664</v>
      </c>
      <c r="P769" t="s">
        <v>737</v>
      </c>
      <c r="Q769" t="s">
        <v>277</v>
      </c>
      <c r="R769" t="s">
        <v>29</v>
      </c>
      <c r="S769">
        <v>129</v>
      </c>
      <c r="T769" t="s">
        <v>738</v>
      </c>
      <c r="U769">
        <v>450</v>
      </c>
      <c r="V769">
        <v>180</v>
      </c>
      <c r="W769">
        <v>3.5</v>
      </c>
      <c r="X769" t="s">
        <v>278</v>
      </c>
      <c r="Y769">
        <v>8</v>
      </c>
      <c r="Z769">
        <v>0.12</v>
      </c>
      <c r="AA769">
        <v>0.1</v>
      </c>
      <c r="AB769">
        <v>58050</v>
      </c>
      <c r="AC769">
        <v>52245</v>
      </c>
      <c r="AD769">
        <v>451.5</v>
      </c>
      <c r="AE769">
        <v>6269.4</v>
      </c>
      <c r="AF769">
        <v>6269</v>
      </c>
      <c r="AG769">
        <v>23220</v>
      </c>
      <c r="AH769">
        <v>16486.599999999999</v>
      </c>
      <c r="AI769" s="5">
        <v>0.31556321179060198</v>
      </c>
    </row>
    <row r="770" spans="14:35" x14ac:dyDescent="0.25">
      <c r="N770" t="s">
        <v>792</v>
      </c>
      <c r="O770" s="1">
        <v>46162.583333333336</v>
      </c>
      <c r="P770" t="s">
        <v>737</v>
      </c>
      <c r="Q770" t="s">
        <v>277</v>
      </c>
      <c r="R770" t="s">
        <v>32</v>
      </c>
      <c r="S770">
        <v>161</v>
      </c>
      <c r="T770" t="s">
        <v>738</v>
      </c>
      <c r="U770">
        <v>450</v>
      </c>
      <c r="V770">
        <v>180</v>
      </c>
      <c r="W770">
        <v>3.5</v>
      </c>
      <c r="X770" t="s">
        <v>278</v>
      </c>
      <c r="Y770">
        <v>8</v>
      </c>
      <c r="Z770">
        <v>0.12</v>
      </c>
      <c r="AA770">
        <v>0.05</v>
      </c>
      <c r="AB770">
        <v>72450</v>
      </c>
      <c r="AC770">
        <v>68828</v>
      </c>
      <c r="AD770">
        <v>563.5</v>
      </c>
      <c r="AE770">
        <v>8259.36</v>
      </c>
      <c r="AF770">
        <v>8259</v>
      </c>
      <c r="AG770">
        <v>28980</v>
      </c>
      <c r="AH770">
        <v>23329.64</v>
      </c>
      <c r="AI770" s="5">
        <v>0.33895565758121698</v>
      </c>
    </row>
    <row r="771" spans="14:35" x14ac:dyDescent="0.25">
      <c r="N771" t="s">
        <v>793</v>
      </c>
      <c r="O771" s="1">
        <v>46162.666666666664</v>
      </c>
      <c r="P771" t="s">
        <v>737</v>
      </c>
      <c r="Q771" t="s">
        <v>277</v>
      </c>
      <c r="R771" t="s">
        <v>32</v>
      </c>
      <c r="S771">
        <v>145</v>
      </c>
      <c r="T771" t="s">
        <v>738</v>
      </c>
      <c r="U771">
        <v>450</v>
      </c>
      <c r="V771">
        <v>180</v>
      </c>
      <c r="W771">
        <v>3.5</v>
      </c>
      <c r="X771" t="s">
        <v>278</v>
      </c>
      <c r="Y771">
        <v>8</v>
      </c>
      <c r="Z771">
        <v>0.12</v>
      </c>
      <c r="AA771">
        <v>0.05</v>
      </c>
      <c r="AB771">
        <v>65250</v>
      </c>
      <c r="AC771">
        <v>61988</v>
      </c>
      <c r="AD771">
        <v>507.5</v>
      </c>
      <c r="AE771">
        <v>7438.5599999999995</v>
      </c>
      <c r="AF771">
        <v>7439</v>
      </c>
      <c r="AG771">
        <v>26100</v>
      </c>
      <c r="AH771">
        <v>21010.440000000002</v>
      </c>
      <c r="AI771" s="5">
        <v>0.33894366651609997</v>
      </c>
    </row>
    <row r="772" spans="14:35" x14ac:dyDescent="0.25">
      <c r="N772" t="s">
        <v>794</v>
      </c>
      <c r="O772" s="1">
        <v>46163.708333333336</v>
      </c>
      <c r="P772" t="s">
        <v>737</v>
      </c>
      <c r="Q772" t="s">
        <v>277</v>
      </c>
      <c r="R772" t="s">
        <v>24</v>
      </c>
      <c r="S772">
        <v>52</v>
      </c>
      <c r="T772" t="s">
        <v>738</v>
      </c>
      <c r="U772">
        <v>450</v>
      </c>
      <c r="V772">
        <v>180</v>
      </c>
      <c r="W772">
        <v>3.5</v>
      </c>
      <c r="X772" t="s">
        <v>278</v>
      </c>
      <c r="Y772">
        <v>8</v>
      </c>
      <c r="Z772">
        <v>0.12</v>
      </c>
      <c r="AA772">
        <v>0.02</v>
      </c>
      <c r="AB772">
        <v>23400</v>
      </c>
      <c r="AC772">
        <v>22932</v>
      </c>
      <c r="AD772">
        <v>182</v>
      </c>
      <c r="AE772">
        <v>2751.8399999999997</v>
      </c>
      <c r="AF772">
        <v>2752</v>
      </c>
      <c r="AG772">
        <v>9360</v>
      </c>
      <c r="AH772">
        <v>8068.16</v>
      </c>
      <c r="AI772" s="5">
        <v>0.351829757544043</v>
      </c>
    </row>
    <row r="773" spans="14:35" x14ac:dyDescent="0.25">
      <c r="N773" t="s">
        <v>795</v>
      </c>
      <c r="O773" s="1">
        <v>46164</v>
      </c>
      <c r="P773" t="s">
        <v>737</v>
      </c>
      <c r="Q773" t="s">
        <v>277</v>
      </c>
      <c r="R773" t="s">
        <v>24</v>
      </c>
      <c r="S773">
        <v>139</v>
      </c>
      <c r="T773" t="s">
        <v>738</v>
      </c>
      <c r="U773">
        <v>450</v>
      </c>
      <c r="V773">
        <v>180</v>
      </c>
      <c r="W773">
        <v>3.5</v>
      </c>
      <c r="X773" t="s">
        <v>278</v>
      </c>
      <c r="Y773">
        <v>8</v>
      </c>
      <c r="Z773">
        <v>0.12</v>
      </c>
      <c r="AA773">
        <v>0.02</v>
      </c>
      <c r="AB773">
        <v>62550</v>
      </c>
      <c r="AC773">
        <v>61299</v>
      </c>
      <c r="AD773">
        <v>486.5</v>
      </c>
      <c r="AE773">
        <v>7355.88</v>
      </c>
      <c r="AF773">
        <v>7356</v>
      </c>
      <c r="AG773">
        <v>25020</v>
      </c>
      <c r="AH773">
        <v>21567.119999999995</v>
      </c>
      <c r="AI773" s="5">
        <v>0.35183477707629801</v>
      </c>
    </row>
    <row r="774" spans="14:35" x14ac:dyDescent="0.25">
      <c r="N774" t="s">
        <v>796</v>
      </c>
      <c r="O774" s="1">
        <v>46164.208333333336</v>
      </c>
      <c r="P774" t="s">
        <v>737</v>
      </c>
      <c r="Q774" t="s">
        <v>277</v>
      </c>
      <c r="R774" t="s">
        <v>24</v>
      </c>
      <c r="S774">
        <v>126</v>
      </c>
      <c r="T774" t="s">
        <v>738</v>
      </c>
      <c r="U774">
        <v>450</v>
      </c>
      <c r="V774">
        <v>180</v>
      </c>
      <c r="W774">
        <v>3.5</v>
      </c>
      <c r="X774" t="s">
        <v>278</v>
      </c>
      <c r="Y774">
        <v>8</v>
      </c>
      <c r="Z774">
        <v>0.12</v>
      </c>
      <c r="AA774">
        <v>0.02</v>
      </c>
      <c r="AB774">
        <v>56700</v>
      </c>
      <c r="AC774">
        <v>55566</v>
      </c>
      <c r="AD774">
        <v>441</v>
      </c>
      <c r="AE774">
        <v>6667.92</v>
      </c>
      <c r="AF774">
        <v>6668</v>
      </c>
      <c r="AG774">
        <v>22680</v>
      </c>
      <c r="AH774">
        <v>19550.080000000002</v>
      </c>
      <c r="AI774" s="5">
        <v>0.35183529496454702</v>
      </c>
    </row>
    <row r="775" spans="14:35" x14ac:dyDescent="0.25">
      <c r="N775" t="s">
        <v>797</v>
      </c>
      <c r="O775" s="1">
        <v>46164.833333333336</v>
      </c>
      <c r="P775" t="s">
        <v>737</v>
      </c>
      <c r="Q775" t="s">
        <v>277</v>
      </c>
      <c r="R775" t="s">
        <v>24</v>
      </c>
      <c r="S775">
        <v>110</v>
      </c>
      <c r="T775" t="s">
        <v>738</v>
      </c>
      <c r="U775">
        <v>450</v>
      </c>
      <c r="V775">
        <v>180</v>
      </c>
      <c r="W775">
        <v>3.5</v>
      </c>
      <c r="X775" t="s">
        <v>278</v>
      </c>
      <c r="Y775">
        <v>8</v>
      </c>
      <c r="Z775">
        <v>0.12</v>
      </c>
      <c r="AA775">
        <v>0.02</v>
      </c>
      <c r="AB775">
        <v>49500</v>
      </c>
      <c r="AC775">
        <v>48510</v>
      </c>
      <c r="AD775">
        <v>385</v>
      </c>
      <c r="AE775">
        <v>5821.2</v>
      </c>
      <c r="AF775">
        <v>5821</v>
      </c>
      <c r="AG775">
        <v>19800</v>
      </c>
      <c r="AH775">
        <v>17067.8</v>
      </c>
      <c r="AI775" s="5">
        <v>0.35184085755514299</v>
      </c>
    </row>
    <row r="776" spans="14:35" x14ac:dyDescent="0.25">
      <c r="N776" t="s">
        <v>798</v>
      </c>
      <c r="O776" s="1">
        <v>46165.083333333336</v>
      </c>
      <c r="P776" t="s">
        <v>737</v>
      </c>
      <c r="Q776" t="s">
        <v>277</v>
      </c>
      <c r="R776" t="s">
        <v>29</v>
      </c>
      <c r="S776">
        <v>50</v>
      </c>
      <c r="T776" t="s">
        <v>738</v>
      </c>
      <c r="U776">
        <v>450</v>
      </c>
      <c r="V776">
        <v>180</v>
      </c>
      <c r="W776">
        <v>3.5</v>
      </c>
      <c r="X776" t="s">
        <v>278</v>
      </c>
      <c r="Y776">
        <v>8</v>
      </c>
      <c r="Z776">
        <v>0.12</v>
      </c>
      <c r="AA776">
        <v>0.1</v>
      </c>
      <c r="AB776">
        <v>22500</v>
      </c>
      <c r="AC776">
        <v>20250</v>
      </c>
      <c r="AD776">
        <v>175</v>
      </c>
      <c r="AE776">
        <v>2430</v>
      </c>
      <c r="AF776">
        <v>2430</v>
      </c>
      <c r="AG776">
        <v>9000</v>
      </c>
      <c r="AH776">
        <v>6390</v>
      </c>
      <c r="AI776" s="5">
        <v>0.31555555555555598</v>
      </c>
    </row>
    <row r="777" spans="14:35" x14ac:dyDescent="0.25">
      <c r="N777" t="s">
        <v>799</v>
      </c>
      <c r="O777" s="1">
        <v>46166.125</v>
      </c>
      <c r="P777" t="s">
        <v>737</v>
      </c>
      <c r="Q777" t="s">
        <v>277</v>
      </c>
      <c r="R777" t="s">
        <v>32</v>
      </c>
      <c r="S777">
        <v>10</v>
      </c>
      <c r="T777" t="s">
        <v>738</v>
      </c>
      <c r="U777">
        <v>450</v>
      </c>
      <c r="V777">
        <v>180</v>
      </c>
      <c r="W777">
        <v>3.5</v>
      </c>
      <c r="X777" t="s">
        <v>278</v>
      </c>
      <c r="Y777">
        <v>8</v>
      </c>
      <c r="Z777">
        <v>0.12</v>
      </c>
      <c r="AA777">
        <v>0.05</v>
      </c>
      <c r="AB777">
        <v>4500</v>
      </c>
      <c r="AC777">
        <v>4275</v>
      </c>
      <c r="AD777">
        <v>35</v>
      </c>
      <c r="AE777">
        <v>513</v>
      </c>
      <c r="AF777">
        <v>513</v>
      </c>
      <c r="AG777">
        <v>1800</v>
      </c>
      <c r="AH777">
        <v>1449</v>
      </c>
      <c r="AI777" s="5">
        <v>0.338947368421053</v>
      </c>
    </row>
    <row r="778" spans="14:35" x14ac:dyDescent="0.25">
      <c r="N778" t="s">
        <v>800</v>
      </c>
      <c r="O778" s="1">
        <v>46166.541666666664</v>
      </c>
      <c r="P778" t="s">
        <v>737</v>
      </c>
      <c r="Q778" t="s">
        <v>277</v>
      </c>
      <c r="R778" t="s">
        <v>24</v>
      </c>
      <c r="S778">
        <v>152</v>
      </c>
      <c r="T778" t="s">
        <v>738</v>
      </c>
      <c r="U778">
        <v>450</v>
      </c>
      <c r="V778">
        <v>180</v>
      </c>
      <c r="W778">
        <v>3.5</v>
      </c>
      <c r="X778" t="s">
        <v>278</v>
      </c>
      <c r="Y778">
        <v>8</v>
      </c>
      <c r="Z778">
        <v>0.12</v>
      </c>
      <c r="AA778">
        <v>0.02</v>
      </c>
      <c r="AB778">
        <v>68400</v>
      </c>
      <c r="AC778">
        <v>67032</v>
      </c>
      <c r="AD778">
        <v>532</v>
      </c>
      <c r="AE778">
        <v>8043.84</v>
      </c>
      <c r="AF778">
        <v>8044</v>
      </c>
      <c r="AG778">
        <v>27360</v>
      </c>
      <c r="AH778">
        <v>23584.160000000003</v>
      </c>
      <c r="AI778" s="5">
        <v>0.35183434777419798</v>
      </c>
    </row>
    <row r="779" spans="14:35" x14ac:dyDescent="0.25">
      <c r="N779" t="s">
        <v>801</v>
      </c>
      <c r="O779" s="1">
        <v>46166.583333333336</v>
      </c>
      <c r="P779" t="s">
        <v>737</v>
      </c>
      <c r="Q779" t="s">
        <v>277</v>
      </c>
      <c r="R779" t="s">
        <v>32</v>
      </c>
      <c r="S779">
        <v>15</v>
      </c>
      <c r="T779" t="s">
        <v>738</v>
      </c>
      <c r="U779">
        <v>450</v>
      </c>
      <c r="V779">
        <v>180</v>
      </c>
      <c r="W779">
        <v>3.5</v>
      </c>
      <c r="X779" t="s">
        <v>278</v>
      </c>
      <c r="Y779">
        <v>8</v>
      </c>
      <c r="Z779">
        <v>0.12</v>
      </c>
      <c r="AA779">
        <v>0.05</v>
      </c>
      <c r="AB779">
        <v>6750</v>
      </c>
      <c r="AC779">
        <v>6412</v>
      </c>
      <c r="AD779">
        <v>52.5</v>
      </c>
      <c r="AE779">
        <v>769.43999999999994</v>
      </c>
      <c r="AF779">
        <v>769</v>
      </c>
      <c r="AG779">
        <v>2700</v>
      </c>
      <c r="AH779">
        <v>2173.5599999999995</v>
      </c>
      <c r="AI779" s="5">
        <v>0.33898315658140998</v>
      </c>
    </row>
    <row r="780" spans="14:35" x14ac:dyDescent="0.25">
      <c r="N780" t="s">
        <v>802</v>
      </c>
      <c r="O780" s="1">
        <v>46166.791666666664</v>
      </c>
      <c r="P780" t="s">
        <v>737</v>
      </c>
      <c r="Q780" t="s">
        <v>277</v>
      </c>
      <c r="R780" t="s">
        <v>32</v>
      </c>
      <c r="S780">
        <v>120</v>
      </c>
      <c r="T780" t="s">
        <v>738</v>
      </c>
      <c r="U780">
        <v>450</v>
      </c>
      <c r="V780">
        <v>180</v>
      </c>
      <c r="W780">
        <v>3.5</v>
      </c>
      <c r="X780" t="s">
        <v>278</v>
      </c>
      <c r="Y780">
        <v>8</v>
      </c>
      <c r="Z780">
        <v>0.12</v>
      </c>
      <c r="AA780">
        <v>0.05</v>
      </c>
      <c r="AB780">
        <v>54000</v>
      </c>
      <c r="AC780">
        <v>51300</v>
      </c>
      <c r="AD780">
        <v>420</v>
      </c>
      <c r="AE780">
        <v>6156</v>
      </c>
      <c r="AF780">
        <v>6156</v>
      </c>
      <c r="AG780">
        <v>21600</v>
      </c>
      <c r="AH780">
        <v>17388</v>
      </c>
      <c r="AI780" s="5">
        <v>0.338947368421053</v>
      </c>
    </row>
    <row r="781" spans="14:35" x14ac:dyDescent="0.25">
      <c r="N781" t="s">
        <v>803</v>
      </c>
      <c r="O781" s="1">
        <v>46167.25</v>
      </c>
      <c r="P781" t="s">
        <v>737</v>
      </c>
      <c r="Q781" t="s">
        <v>277</v>
      </c>
      <c r="R781" t="s">
        <v>24</v>
      </c>
      <c r="S781">
        <v>170</v>
      </c>
      <c r="T781" t="s">
        <v>738</v>
      </c>
      <c r="U781">
        <v>450</v>
      </c>
      <c r="V781">
        <v>180</v>
      </c>
      <c r="W781">
        <v>3.5</v>
      </c>
      <c r="X781" t="s">
        <v>278</v>
      </c>
      <c r="Y781">
        <v>8</v>
      </c>
      <c r="Z781">
        <v>0.12</v>
      </c>
      <c r="AA781">
        <v>0.02</v>
      </c>
      <c r="AB781">
        <v>76500</v>
      </c>
      <c r="AC781">
        <v>74970</v>
      </c>
      <c r="AD781">
        <v>595</v>
      </c>
      <c r="AE781">
        <v>8996.4</v>
      </c>
      <c r="AF781">
        <v>8996</v>
      </c>
      <c r="AG781">
        <v>30600</v>
      </c>
      <c r="AH781">
        <v>26377.599999999999</v>
      </c>
      <c r="AI781" s="5">
        <v>0.35184207016139801</v>
      </c>
    </row>
    <row r="782" spans="14:35" x14ac:dyDescent="0.25">
      <c r="N782" t="s">
        <v>804</v>
      </c>
      <c r="O782" s="1">
        <v>46167.916666666664</v>
      </c>
      <c r="P782" t="s">
        <v>737</v>
      </c>
      <c r="Q782" t="s">
        <v>277</v>
      </c>
      <c r="R782" t="s">
        <v>29</v>
      </c>
      <c r="S782">
        <v>198</v>
      </c>
      <c r="T782" t="s">
        <v>738</v>
      </c>
      <c r="U782">
        <v>450</v>
      </c>
      <c r="V782">
        <v>180</v>
      </c>
      <c r="W782">
        <v>3.5</v>
      </c>
      <c r="X782" t="s">
        <v>278</v>
      </c>
      <c r="Y782">
        <v>8</v>
      </c>
      <c r="Z782">
        <v>0.12</v>
      </c>
      <c r="AA782">
        <v>0.1</v>
      </c>
      <c r="AB782">
        <v>89100</v>
      </c>
      <c r="AC782">
        <v>80190</v>
      </c>
      <c r="AD782">
        <v>693</v>
      </c>
      <c r="AE782">
        <v>9622.7999999999993</v>
      </c>
      <c r="AF782">
        <v>9623</v>
      </c>
      <c r="AG782">
        <v>35640</v>
      </c>
      <c r="AH782">
        <v>25304.199999999997</v>
      </c>
      <c r="AI782" s="5">
        <v>0.31555306147898698</v>
      </c>
    </row>
    <row r="783" spans="14:35" x14ac:dyDescent="0.25">
      <c r="N783" t="s">
        <v>805</v>
      </c>
      <c r="O783" s="1">
        <v>46168.041666666664</v>
      </c>
      <c r="P783" t="s">
        <v>737</v>
      </c>
      <c r="Q783" t="s">
        <v>277</v>
      </c>
      <c r="R783" t="s">
        <v>32</v>
      </c>
      <c r="S783">
        <v>13</v>
      </c>
      <c r="T783" t="s">
        <v>738</v>
      </c>
      <c r="U783">
        <v>450</v>
      </c>
      <c r="V783">
        <v>180</v>
      </c>
      <c r="W783">
        <v>3.5</v>
      </c>
      <c r="X783" t="s">
        <v>278</v>
      </c>
      <c r="Y783">
        <v>8</v>
      </c>
      <c r="Z783">
        <v>0.12</v>
      </c>
      <c r="AA783">
        <v>0.05</v>
      </c>
      <c r="AB783">
        <v>5850</v>
      </c>
      <c r="AC783">
        <v>5558</v>
      </c>
      <c r="AD783">
        <v>45.5</v>
      </c>
      <c r="AE783">
        <v>666.95999999999992</v>
      </c>
      <c r="AF783">
        <v>667</v>
      </c>
      <c r="AG783">
        <v>2340</v>
      </c>
      <c r="AH783">
        <v>1884.04</v>
      </c>
      <c r="AI783" s="5">
        <v>0.33897804965814998</v>
      </c>
    </row>
    <row r="784" spans="14:35" x14ac:dyDescent="0.25">
      <c r="N784" t="s">
        <v>806</v>
      </c>
      <c r="O784" s="1">
        <v>46168.25</v>
      </c>
      <c r="P784" t="s">
        <v>737</v>
      </c>
      <c r="Q784" t="s">
        <v>277</v>
      </c>
      <c r="R784" t="s">
        <v>29</v>
      </c>
      <c r="S784">
        <v>44</v>
      </c>
      <c r="T784" t="s">
        <v>738</v>
      </c>
      <c r="U784">
        <v>450</v>
      </c>
      <c r="V784">
        <v>180</v>
      </c>
      <c r="W784">
        <v>3.5</v>
      </c>
      <c r="X784" t="s">
        <v>278</v>
      </c>
      <c r="Y784">
        <v>8</v>
      </c>
      <c r="Z784">
        <v>0.12</v>
      </c>
      <c r="AA784">
        <v>0.1</v>
      </c>
      <c r="AB784">
        <v>19800</v>
      </c>
      <c r="AC784">
        <v>17820</v>
      </c>
      <c r="AD784">
        <v>154</v>
      </c>
      <c r="AE784">
        <v>2138.4</v>
      </c>
      <c r="AF784">
        <v>2138</v>
      </c>
      <c r="AG784">
        <v>7920</v>
      </c>
      <c r="AH784">
        <v>5623.6</v>
      </c>
      <c r="AI784" s="5">
        <v>0.31557800224466898</v>
      </c>
    </row>
    <row r="785" spans="14:35" x14ac:dyDescent="0.25">
      <c r="N785" t="s">
        <v>807</v>
      </c>
      <c r="O785" s="1">
        <v>46168.375</v>
      </c>
      <c r="P785" t="s">
        <v>737</v>
      </c>
      <c r="Q785" t="s">
        <v>277</v>
      </c>
      <c r="R785" t="s">
        <v>24</v>
      </c>
      <c r="S785">
        <v>145</v>
      </c>
      <c r="T785" t="s">
        <v>738</v>
      </c>
      <c r="U785">
        <v>450</v>
      </c>
      <c r="V785">
        <v>180</v>
      </c>
      <c r="W785">
        <v>3.5</v>
      </c>
      <c r="X785" t="s">
        <v>278</v>
      </c>
      <c r="Y785">
        <v>8</v>
      </c>
      <c r="Z785">
        <v>0.12</v>
      </c>
      <c r="AA785">
        <v>0.02</v>
      </c>
      <c r="AB785">
        <v>65250</v>
      </c>
      <c r="AC785">
        <v>63945</v>
      </c>
      <c r="AD785">
        <v>507.5</v>
      </c>
      <c r="AE785">
        <v>7673.4</v>
      </c>
      <c r="AF785">
        <v>7673</v>
      </c>
      <c r="AG785">
        <v>26100</v>
      </c>
      <c r="AH785">
        <v>22498.6</v>
      </c>
      <c r="AI785" s="5">
        <v>0.35184299006959102</v>
      </c>
    </row>
    <row r="786" spans="14:35" x14ac:dyDescent="0.25">
      <c r="N786" t="s">
        <v>808</v>
      </c>
      <c r="O786" s="1">
        <v>46168.791666666664</v>
      </c>
      <c r="P786" t="s">
        <v>737</v>
      </c>
      <c r="Q786" t="s">
        <v>277</v>
      </c>
      <c r="R786" t="s">
        <v>24</v>
      </c>
      <c r="S786">
        <v>151</v>
      </c>
      <c r="T786" t="s">
        <v>738</v>
      </c>
      <c r="U786">
        <v>450</v>
      </c>
      <c r="V786">
        <v>180</v>
      </c>
      <c r="W786">
        <v>3.5</v>
      </c>
      <c r="X786" t="s">
        <v>278</v>
      </c>
      <c r="Y786">
        <v>8</v>
      </c>
      <c r="Z786">
        <v>0.12</v>
      </c>
      <c r="AA786">
        <v>0.02</v>
      </c>
      <c r="AB786">
        <v>67950</v>
      </c>
      <c r="AC786">
        <v>66591</v>
      </c>
      <c r="AD786">
        <v>528.5</v>
      </c>
      <c r="AE786">
        <v>7990.92</v>
      </c>
      <c r="AF786">
        <v>7991</v>
      </c>
      <c r="AG786">
        <v>27180</v>
      </c>
      <c r="AH786">
        <v>23429.08</v>
      </c>
      <c r="AI786" s="5">
        <v>0.35183553333033002</v>
      </c>
    </row>
    <row r="787" spans="14:35" x14ac:dyDescent="0.25">
      <c r="N787" t="s">
        <v>809</v>
      </c>
      <c r="O787" s="1">
        <v>46168.875</v>
      </c>
      <c r="P787" t="s">
        <v>737</v>
      </c>
      <c r="Q787" t="s">
        <v>277</v>
      </c>
      <c r="R787" t="s">
        <v>24</v>
      </c>
      <c r="S787">
        <v>144</v>
      </c>
      <c r="T787" t="s">
        <v>738</v>
      </c>
      <c r="U787">
        <v>450</v>
      </c>
      <c r="V787">
        <v>180</v>
      </c>
      <c r="W787">
        <v>3.5</v>
      </c>
      <c r="X787" t="s">
        <v>278</v>
      </c>
      <c r="Y787">
        <v>8</v>
      </c>
      <c r="Z787">
        <v>0.12</v>
      </c>
      <c r="AA787">
        <v>0.02</v>
      </c>
      <c r="AB787">
        <v>64800</v>
      </c>
      <c r="AC787">
        <v>63504</v>
      </c>
      <c r="AD787">
        <v>504</v>
      </c>
      <c r="AE787">
        <v>7620.48</v>
      </c>
      <c r="AF787">
        <v>7620</v>
      </c>
      <c r="AG787">
        <v>25920</v>
      </c>
      <c r="AH787">
        <v>22343.520000000004</v>
      </c>
      <c r="AI787" s="5">
        <v>0.35184429327286498</v>
      </c>
    </row>
    <row r="788" spans="14:35" x14ac:dyDescent="0.25">
      <c r="N788" t="s">
        <v>810</v>
      </c>
      <c r="O788" s="1">
        <v>46169.208333333336</v>
      </c>
      <c r="P788" t="s">
        <v>737</v>
      </c>
      <c r="Q788" t="s">
        <v>277</v>
      </c>
      <c r="R788" t="s">
        <v>24</v>
      </c>
      <c r="S788">
        <v>105</v>
      </c>
      <c r="T788" t="s">
        <v>738</v>
      </c>
      <c r="U788">
        <v>450</v>
      </c>
      <c r="V788">
        <v>180</v>
      </c>
      <c r="W788">
        <v>3.5</v>
      </c>
      <c r="X788" t="s">
        <v>278</v>
      </c>
      <c r="Y788">
        <v>8</v>
      </c>
      <c r="Z788">
        <v>0.12</v>
      </c>
      <c r="AA788">
        <v>0.02</v>
      </c>
      <c r="AB788">
        <v>47250</v>
      </c>
      <c r="AC788">
        <v>46305</v>
      </c>
      <c r="AD788">
        <v>367.5</v>
      </c>
      <c r="AE788">
        <v>5556.5999999999995</v>
      </c>
      <c r="AF788">
        <v>5557</v>
      </c>
      <c r="AG788">
        <v>18900</v>
      </c>
      <c r="AH788">
        <v>16291.400000000001</v>
      </c>
      <c r="AI788" s="5">
        <v>0.35182809631789203</v>
      </c>
    </row>
    <row r="789" spans="14:35" x14ac:dyDescent="0.25">
      <c r="N789" t="s">
        <v>811</v>
      </c>
      <c r="O789" s="1">
        <v>46169.291666666664</v>
      </c>
      <c r="P789" t="s">
        <v>737</v>
      </c>
      <c r="Q789" t="s">
        <v>277</v>
      </c>
      <c r="R789" t="s">
        <v>24</v>
      </c>
      <c r="S789">
        <v>10</v>
      </c>
      <c r="T789" t="s">
        <v>738</v>
      </c>
      <c r="U789">
        <v>450</v>
      </c>
      <c r="V789">
        <v>180</v>
      </c>
      <c r="W789">
        <v>3.5</v>
      </c>
      <c r="X789" t="s">
        <v>278</v>
      </c>
      <c r="Y789">
        <v>8</v>
      </c>
      <c r="Z789">
        <v>0.12</v>
      </c>
      <c r="AA789">
        <v>0.02</v>
      </c>
      <c r="AB789">
        <v>4500</v>
      </c>
      <c r="AC789">
        <v>4410</v>
      </c>
      <c r="AD789">
        <v>35</v>
      </c>
      <c r="AE789">
        <v>529.19999999999993</v>
      </c>
      <c r="AF789">
        <v>529</v>
      </c>
      <c r="AG789">
        <v>1800</v>
      </c>
      <c r="AH789">
        <v>1551.8000000000002</v>
      </c>
      <c r="AI789" s="5">
        <v>0.35188208616779998</v>
      </c>
    </row>
    <row r="790" spans="14:35" x14ac:dyDescent="0.25">
      <c r="N790" t="s">
        <v>812</v>
      </c>
      <c r="O790" s="1">
        <v>46170.958333333336</v>
      </c>
      <c r="P790" t="s">
        <v>737</v>
      </c>
      <c r="Q790" t="s">
        <v>277</v>
      </c>
      <c r="R790" t="s">
        <v>29</v>
      </c>
      <c r="S790">
        <v>90</v>
      </c>
      <c r="T790" t="s">
        <v>738</v>
      </c>
      <c r="U790">
        <v>450</v>
      </c>
      <c r="V790">
        <v>180</v>
      </c>
      <c r="W790">
        <v>3.5</v>
      </c>
      <c r="X790" t="s">
        <v>278</v>
      </c>
      <c r="Y790">
        <v>8</v>
      </c>
      <c r="Z790">
        <v>0.12</v>
      </c>
      <c r="AA790">
        <v>0.1</v>
      </c>
      <c r="AB790">
        <v>40500</v>
      </c>
      <c r="AC790">
        <v>36450</v>
      </c>
      <c r="AD790">
        <v>315</v>
      </c>
      <c r="AE790">
        <v>4374</v>
      </c>
      <c r="AF790">
        <v>4374</v>
      </c>
      <c r="AG790">
        <v>16200</v>
      </c>
      <c r="AH790">
        <v>11502</v>
      </c>
      <c r="AI790" s="5">
        <v>0.31555555555555598</v>
      </c>
    </row>
    <row r="791" spans="14:35" x14ac:dyDescent="0.25">
      <c r="N791" t="s">
        <v>813</v>
      </c>
      <c r="O791" s="1">
        <v>46171.583333333336</v>
      </c>
      <c r="P791" t="s">
        <v>737</v>
      </c>
      <c r="Q791" t="s">
        <v>277</v>
      </c>
      <c r="R791" t="s">
        <v>29</v>
      </c>
      <c r="S791">
        <v>198</v>
      </c>
      <c r="T791" t="s">
        <v>738</v>
      </c>
      <c r="U791">
        <v>450</v>
      </c>
      <c r="V791">
        <v>180</v>
      </c>
      <c r="W791">
        <v>3.5</v>
      </c>
      <c r="X791" t="s">
        <v>278</v>
      </c>
      <c r="Y791">
        <v>8</v>
      </c>
      <c r="Z791">
        <v>0.12</v>
      </c>
      <c r="AA791">
        <v>0.1</v>
      </c>
      <c r="AB791">
        <v>89100</v>
      </c>
      <c r="AC791">
        <v>80190</v>
      </c>
      <c r="AD791">
        <v>693</v>
      </c>
      <c r="AE791">
        <v>9622.7999999999993</v>
      </c>
      <c r="AF791">
        <v>9623</v>
      </c>
      <c r="AG791">
        <v>35640</v>
      </c>
      <c r="AH791">
        <v>25304.199999999997</v>
      </c>
      <c r="AI791" s="5">
        <v>0.31555306147898698</v>
      </c>
    </row>
    <row r="792" spans="14:35" x14ac:dyDescent="0.25">
      <c r="N792" t="s">
        <v>814</v>
      </c>
      <c r="O792" s="1">
        <v>46173.125</v>
      </c>
      <c r="P792" t="s">
        <v>737</v>
      </c>
      <c r="Q792" t="s">
        <v>277</v>
      </c>
      <c r="R792" t="s">
        <v>32</v>
      </c>
      <c r="S792">
        <v>24</v>
      </c>
      <c r="T792" t="s">
        <v>738</v>
      </c>
      <c r="U792">
        <v>450</v>
      </c>
      <c r="V792">
        <v>180</v>
      </c>
      <c r="W792">
        <v>3.5</v>
      </c>
      <c r="X792" t="s">
        <v>278</v>
      </c>
      <c r="Y792">
        <v>8</v>
      </c>
      <c r="Z792">
        <v>0.12</v>
      </c>
      <c r="AA792">
        <v>0.05</v>
      </c>
      <c r="AB792">
        <v>10800</v>
      </c>
      <c r="AC792">
        <v>10260</v>
      </c>
      <c r="AD792">
        <v>84</v>
      </c>
      <c r="AE792">
        <v>1231.2</v>
      </c>
      <c r="AF792">
        <v>1231</v>
      </c>
      <c r="AG792">
        <v>4320</v>
      </c>
      <c r="AH792">
        <v>3477.8</v>
      </c>
      <c r="AI792" s="5">
        <v>0.33896686159844103</v>
      </c>
    </row>
    <row r="793" spans="14:35" x14ac:dyDescent="0.25">
      <c r="N793" t="s">
        <v>815</v>
      </c>
      <c r="O793" s="1">
        <v>46173.25</v>
      </c>
      <c r="P793" t="s">
        <v>737</v>
      </c>
      <c r="Q793" t="s">
        <v>277</v>
      </c>
      <c r="R793" t="s">
        <v>24</v>
      </c>
      <c r="S793">
        <v>83</v>
      </c>
      <c r="T793" t="s">
        <v>738</v>
      </c>
      <c r="U793">
        <v>450</v>
      </c>
      <c r="V793">
        <v>180</v>
      </c>
      <c r="W793">
        <v>3.5</v>
      </c>
      <c r="X793" t="s">
        <v>278</v>
      </c>
      <c r="Y793">
        <v>8</v>
      </c>
      <c r="Z793">
        <v>0.12</v>
      </c>
      <c r="AA793">
        <v>0.02</v>
      </c>
      <c r="AB793">
        <v>37350</v>
      </c>
      <c r="AC793">
        <v>36603</v>
      </c>
      <c r="AD793">
        <v>290.5</v>
      </c>
      <c r="AE793">
        <v>4392.3599999999997</v>
      </c>
      <c r="AF793">
        <v>4392</v>
      </c>
      <c r="AG793">
        <v>14940</v>
      </c>
      <c r="AH793">
        <v>12878.64</v>
      </c>
      <c r="AI793" s="5">
        <v>0.35184656995328201</v>
      </c>
    </row>
    <row r="794" spans="14:35" x14ac:dyDescent="0.25">
      <c r="N794" t="s">
        <v>816</v>
      </c>
      <c r="O794" s="1">
        <v>46173.416666666664</v>
      </c>
      <c r="P794" t="s">
        <v>737</v>
      </c>
      <c r="Q794" t="s">
        <v>277</v>
      </c>
      <c r="R794" t="s">
        <v>32</v>
      </c>
      <c r="S794">
        <v>165</v>
      </c>
      <c r="T794" t="s">
        <v>738</v>
      </c>
      <c r="U794">
        <v>450</v>
      </c>
      <c r="V794">
        <v>180</v>
      </c>
      <c r="W794">
        <v>3.5</v>
      </c>
      <c r="X794" t="s">
        <v>278</v>
      </c>
      <c r="Y794">
        <v>8</v>
      </c>
      <c r="Z794">
        <v>0.12</v>
      </c>
      <c r="AA794">
        <v>0.05</v>
      </c>
      <c r="AB794">
        <v>74250</v>
      </c>
      <c r="AC794">
        <v>70538</v>
      </c>
      <c r="AD794">
        <v>577.5</v>
      </c>
      <c r="AE794">
        <v>8464.56</v>
      </c>
      <c r="AF794">
        <v>8465</v>
      </c>
      <c r="AG794">
        <v>29700</v>
      </c>
      <c r="AH794">
        <v>23908.440000000002</v>
      </c>
      <c r="AI794" s="5">
        <v>0.33894411522867102</v>
      </c>
    </row>
    <row r="795" spans="14:35" x14ac:dyDescent="0.25">
      <c r="N795" t="s">
        <v>817</v>
      </c>
      <c r="O795" s="1">
        <v>46174.5</v>
      </c>
      <c r="P795" t="s">
        <v>737</v>
      </c>
      <c r="Q795" t="s">
        <v>277</v>
      </c>
      <c r="R795" t="s">
        <v>24</v>
      </c>
      <c r="S795">
        <v>103</v>
      </c>
      <c r="T795" t="s">
        <v>738</v>
      </c>
      <c r="U795">
        <v>450</v>
      </c>
      <c r="V795">
        <v>180</v>
      </c>
      <c r="W795">
        <v>3.5</v>
      </c>
      <c r="X795" t="s">
        <v>278</v>
      </c>
      <c r="Y795">
        <v>8</v>
      </c>
      <c r="Z795">
        <v>0.12</v>
      </c>
      <c r="AA795">
        <v>0.02</v>
      </c>
      <c r="AB795">
        <v>46350</v>
      </c>
      <c r="AC795">
        <v>45423</v>
      </c>
      <c r="AD795">
        <v>360.5</v>
      </c>
      <c r="AE795">
        <v>5450.76</v>
      </c>
      <c r="AF795">
        <v>5451</v>
      </c>
      <c r="AG795">
        <v>18540</v>
      </c>
      <c r="AH795">
        <v>15981.239999999998</v>
      </c>
      <c r="AI795" s="5">
        <v>0.35183145102701302</v>
      </c>
    </row>
    <row r="796" spans="14:35" x14ac:dyDescent="0.25">
      <c r="N796" t="s">
        <v>818</v>
      </c>
      <c r="O796" s="1">
        <v>46174.541666666664</v>
      </c>
      <c r="P796" t="s">
        <v>737</v>
      </c>
      <c r="Q796" t="s">
        <v>277</v>
      </c>
      <c r="R796" t="s">
        <v>29</v>
      </c>
      <c r="S796">
        <v>61</v>
      </c>
      <c r="T796" t="s">
        <v>738</v>
      </c>
      <c r="U796">
        <v>450</v>
      </c>
      <c r="V796">
        <v>180</v>
      </c>
      <c r="W796">
        <v>3.5</v>
      </c>
      <c r="X796" t="s">
        <v>278</v>
      </c>
      <c r="Y796">
        <v>8</v>
      </c>
      <c r="Z796">
        <v>0.12</v>
      </c>
      <c r="AA796">
        <v>0.1</v>
      </c>
      <c r="AB796">
        <v>27450</v>
      </c>
      <c r="AC796">
        <v>24705</v>
      </c>
      <c r="AD796">
        <v>213.5</v>
      </c>
      <c r="AE796">
        <v>2964.6</v>
      </c>
      <c r="AF796">
        <v>2965</v>
      </c>
      <c r="AG796">
        <v>10980</v>
      </c>
      <c r="AH796">
        <v>7795.4000000000015</v>
      </c>
      <c r="AI796" s="5">
        <v>0.31553936450111297</v>
      </c>
    </row>
    <row r="797" spans="14:35" x14ac:dyDescent="0.25">
      <c r="N797" t="s">
        <v>819</v>
      </c>
      <c r="O797" s="1">
        <v>46174.916666666664</v>
      </c>
      <c r="P797" t="s">
        <v>737</v>
      </c>
      <c r="Q797" t="s">
        <v>277</v>
      </c>
      <c r="R797" t="s">
        <v>29</v>
      </c>
      <c r="S797">
        <v>88</v>
      </c>
      <c r="T797" t="s">
        <v>738</v>
      </c>
      <c r="U797">
        <v>450</v>
      </c>
      <c r="V797">
        <v>180</v>
      </c>
      <c r="W797">
        <v>3.5</v>
      </c>
      <c r="X797" t="s">
        <v>278</v>
      </c>
      <c r="Y797">
        <v>8</v>
      </c>
      <c r="Z797">
        <v>0.12</v>
      </c>
      <c r="AA797">
        <v>0.1</v>
      </c>
      <c r="AB797">
        <v>39600</v>
      </c>
      <c r="AC797">
        <v>35640</v>
      </c>
      <c r="AD797">
        <v>308</v>
      </c>
      <c r="AE797">
        <v>4276.8</v>
      </c>
      <c r="AF797">
        <v>4277</v>
      </c>
      <c r="AG797">
        <v>15840</v>
      </c>
      <c r="AH797">
        <v>11246.2</v>
      </c>
      <c r="AI797" s="5">
        <v>0.31554994388327701</v>
      </c>
    </row>
    <row r="798" spans="14:35" x14ac:dyDescent="0.25">
      <c r="N798" t="s">
        <v>820</v>
      </c>
      <c r="O798" s="1">
        <v>46175.416666666664</v>
      </c>
      <c r="P798" t="s">
        <v>737</v>
      </c>
      <c r="Q798" t="s">
        <v>277</v>
      </c>
      <c r="R798" t="s">
        <v>32</v>
      </c>
      <c r="S798">
        <v>157</v>
      </c>
      <c r="T798" t="s">
        <v>738</v>
      </c>
      <c r="U798">
        <v>450</v>
      </c>
      <c r="V798">
        <v>180</v>
      </c>
      <c r="W798">
        <v>3.5</v>
      </c>
      <c r="X798" t="s">
        <v>278</v>
      </c>
      <c r="Y798">
        <v>8</v>
      </c>
      <c r="Z798">
        <v>0.12</v>
      </c>
      <c r="AA798">
        <v>0.05</v>
      </c>
      <c r="AB798">
        <v>70650</v>
      </c>
      <c r="AC798">
        <v>67118</v>
      </c>
      <c r="AD798">
        <v>549.5</v>
      </c>
      <c r="AE798">
        <v>8054.16</v>
      </c>
      <c r="AF798">
        <v>8054</v>
      </c>
      <c r="AG798">
        <v>28260</v>
      </c>
      <c r="AH798">
        <v>22749.839999999997</v>
      </c>
      <c r="AI798" s="5">
        <v>0.33895288894186398</v>
      </c>
    </row>
    <row r="799" spans="14:35" x14ac:dyDescent="0.25">
      <c r="N799" t="s">
        <v>821</v>
      </c>
      <c r="O799" s="1">
        <v>46175.583333333336</v>
      </c>
      <c r="P799" t="s">
        <v>737</v>
      </c>
      <c r="Q799" t="s">
        <v>277</v>
      </c>
      <c r="R799" t="s">
        <v>29</v>
      </c>
      <c r="S799">
        <v>131</v>
      </c>
      <c r="T799" t="s">
        <v>738</v>
      </c>
      <c r="U799">
        <v>450</v>
      </c>
      <c r="V799">
        <v>180</v>
      </c>
      <c r="W799">
        <v>3.5</v>
      </c>
      <c r="X799" t="s">
        <v>278</v>
      </c>
      <c r="Y799">
        <v>8</v>
      </c>
      <c r="Z799">
        <v>0.12</v>
      </c>
      <c r="AA799">
        <v>0.1</v>
      </c>
      <c r="AB799">
        <v>58950</v>
      </c>
      <c r="AC799">
        <v>53055</v>
      </c>
      <c r="AD799">
        <v>458.5</v>
      </c>
      <c r="AE799">
        <v>6366.5999999999995</v>
      </c>
      <c r="AF799">
        <v>6367</v>
      </c>
      <c r="AG799">
        <v>23580</v>
      </c>
      <c r="AH799">
        <v>16741.400000000001</v>
      </c>
      <c r="AI799" s="5">
        <v>0.315548016209594</v>
      </c>
    </row>
    <row r="800" spans="14:35" x14ac:dyDescent="0.25">
      <c r="N800" t="s">
        <v>822</v>
      </c>
      <c r="O800" s="1">
        <v>46175.708333333336</v>
      </c>
      <c r="P800" t="s">
        <v>737</v>
      </c>
      <c r="Q800" t="s">
        <v>277</v>
      </c>
      <c r="R800" t="s">
        <v>32</v>
      </c>
      <c r="S800">
        <v>133</v>
      </c>
      <c r="T800" t="s">
        <v>738</v>
      </c>
      <c r="U800">
        <v>450</v>
      </c>
      <c r="V800">
        <v>180</v>
      </c>
      <c r="W800">
        <v>3.5</v>
      </c>
      <c r="X800" t="s">
        <v>278</v>
      </c>
      <c r="Y800">
        <v>8</v>
      </c>
      <c r="Z800">
        <v>0.12</v>
      </c>
      <c r="AA800">
        <v>0.05</v>
      </c>
      <c r="AB800">
        <v>59850</v>
      </c>
      <c r="AC800">
        <v>56858</v>
      </c>
      <c r="AD800">
        <v>465.5</v>
      </c>
      <c r="AE800">
        <v>6822.96</v>
      </c>
      <c r="AF800">
        <v>6823</v>
      </c>
      <c r="AG800">
        <v>23940</v>
      </c>
      <c r="AH800">
        <v>19272.04</v>
      </c>
      <c r="AI800" s="5">
        <v>0.33895036758239799</v>
      </c>
    </row>
    <row r="801" spans="14:35" x14ac:dyDescent="0.25">
      <c r="N801" t="s">
        <v>823</v>
      </c>
      <c r="O801" s="1">
        <v>46175.833333333336</v>
      </c>
      <c r="P801" t="s">
        <v>737</v>
      </c>
      <c r="Q801" t="s">
        <v>277</v>
      </c>
      <c r="R801" t="s">
        <v>24</v>
      </c>
      <c r="S801">
        <v>47</v>
      </c>
      <c r="T801" t="s">
        <v>738</v>
      </c>
      <c r="U801">
        <v>450</v>
      </c>
      <c r="V801">
        <v>180</v>
      </c>
      <c r="W801">
        <v>3.5</v>
      </c>
      <c r="X801" t="s">
        <v>278</v>
      </c>
      <c r="Y801">
        <v>8</v>
      </c>
      <c r="Z801">
        <v>0.12</v>
      </c>
      <c r="AA801">
        <v>0.02</v>
      </c>
      <c r="AB801">
        <v>21150</v>
      </c>
      <c r="AC801">
        <v>20727</v>
      </c>
      <c r="AD801">
        <v>164.5</v>
      </c>
      <c r="AE801">
        <v>2487.2399999999998</v>
      </c>
      <c r="AF801">
        <v>2487</v>
      </c>
      <c r="AG801">
        <v>8460</v>
      </c>
      <c r="AH801">
        <v>7292.76</v>
      </c>
      <c r="AI801" s="5">
        <v>0.35184831379360298</v>
      </c>
    </row>
    <row r="802" spans="14:35" x14ac:dyDescent="0.25">
      <c r="N802" t="s">
        <v>824</v>
      </c>
      <c r="O802" s="1">
        <v>46176.041666666664</v>
      </c>
      <c r="P802" t="s">
        <v>737</v>
      </c>
      <c r="Q802" t="s">
        <v>277</v>
      </c>
      <c r="R802" t="s">
        <v>32</v>
      </c>
      <c r="S802">
        <v>72</v>
      </c>
      <c r="T802" t="s">
        <v>738</v>
      </c>
      <c r="U802">
        <v>450</v>
      </c>
      <c r="V802">
        <v>180</v>
      </c>
      <c r="W802">
        <v>3.5</v>
      </c>
      <c r="X802" t="s">
        <v>278</v>
      </c>
      <c r="Y802">
        <v>8</v>
      </c>
      <c r="Z802">
        <v>0.12</v>
      </c>
      <c r="AA802">
        <v>0.05</v>
      </c>
      <c r="AB802">
        <v>32400</v>
      </c>
      <c r="AC802">
        <v>30780</v>
      </c>
      <c r="AD802">
        <v>252</v>
      </c>
      <c r="AE802">
        <v>3693.6</v>
      </c>
      <c r="AF802">
        <v>3694</v>
      </c>
      <c r="AG802">
        <v>12960</v>
      </c>
      <c r="AH802">
        <v>10432.400000000001</v>
      </c>
      <c r="AI802" s="5">
        <v>0.338934372969461</v>
      </c>
    </row>
    <row r="803" spans="14:35" x14ac:dyDescent="0.25">
      <c r="N803" t="s">
        <v>825</v>
      </c>
      <c r="O803" s="1">
        <v>46176.291666666664</v>
      </c>
      <c r="P803" t="s">
        <v>737</v>
      </c>
      <c r="Q803" t="s">
        <v>277</v>
      </c>
      <c r="R803" t="s">
        <v>29</v>
      </c>
      <c r="S803">
        <v>188</v>
      </c>
      <c r="T803" t="s">
        <v>738</v>
      </c>
      <c r="U803">
        <v>450</v>
      </c>
      <c r="V803">
        <v>180</v>
      </c>
      <c r="W803">
        <v>3.5</v>
      </c>
      <c r="X803" t="s">
        <v>278</v>
      </c>
      <c r="Y803">
        <v>8</v>
      </c>
      <c r="Z803">
        <v>0.12</v>
      </c>
      <c r="AA803">
        <v>0.1</v>
      </c>
      <c r="AB803">
        <v>84600</v>
      </c>
      <c r="AC803">
        <v>76140</v>
      </c>
      <c r="AD803">
        <v>658</v>
      </c>
      <c r="AE803">
        <v>9136.7999999999993</v>
      </c>
      <c r="AF803">
        <v>9137</v>
      </c>
      <c r="AG803">
        <v>33840</v>
      </c>
      <c r="AH803">
        <v>24026.199999999997</v>
      </c>
      <c r="AI803" s="5">
        <v>0.31555292881533997</v>
      </c>
    </row>
    <row r="804" spans="14:35" x14ac:dyDescent="0.25">
      <c r="N804" t="s">
        <v>826</v>
      </c>
      <c r="O804" s="1">
        <v>46176.75</v>
      </c>
      <c r="P804" t="s">
        <v>737</v>
      </c>
      <c r="Q804" t="s">
        <v>277</v>
      </c>
      <c r="R804" t="s">
        <v>29</v>
      </c>
      <c r="S804">
        <v>66</v>
      </c>
      <c r="T804" t="s">
        <v>738</v>
      </c>
      <c r="U804">
        <v>450</v>
      </c>
      <c r="V804">
        <v>180</v>
      </c>
      <c r="W804">
        <v>3.5</v>
      </c>
      <c r="X804" t="s">
        <v>278</v>
      </c>
      <c r="Y804">
        <v>8</v>
      </c>
      <c r="Z804">
        <v>0.12</v>
      </c>
      <c r="AA804">
        <v>0.1</v>
      </c>
      <c r="AB804">
        <v>29700</v>
      </c>
      <c r="AC804">
        <v>26730</v>
      </c>
      <c r="AD804">
        <v>231</v>
      </c>
      <c r="AE804">
        <v>3207.6</v>
      </c>
      <c r="AF804">
        <v>3208</v>
      </c>
      <c r="AG804">
        <v>11880</v>
      </c>
      <c r="AH804">
        <v>8434.4000000000015</v>
      </c>
      <c r="AI804" s="5">
        <v>0.31554059109614702</v>
      </c>
    </row>
    <row r="805" spans="14:35" x14ac:dyDescent="0.25">
      <c r="N805" t="s">
        <v>827</v>
      </c>
      <c r="O805" s="1">
        <v>46176.833333333336</v>
      </c>
      <c r="P805" t="s">
        <v>737</v>
      </c>
      <c r="Q805" t="s">
        <v>277</v>
      </c>
      <c r="R805" t="s">
        <v>24</v>
      </c>
      <c r="S805">
        <v>67</v>
      </c>
      <c r="T805" t="s">
        <v>738</v>
      </c>
      <c r="U805">
        <v>450</v>
      </c>
      <c r="V805">
        <v>180</v>
      </c>
      <c r="W805">
        <v>3.5</v>
      </c>
      <c r="X805" t="s">
        <v>278</v>
      </c>
      <c r="Y805">
        <v>8</v>
      </c>
      <c r="Z805">
        <v>0.12</v>
      </c>
      <c r="AA805">
        <v>0.02</v>
      </c>
      <c r="AB805">
        <v>30150</v>
      </c>
      <c r="AC805">
        <v>29547</v>
      </c>
      <c r="AD805">
        <v>234.5</v>
      </c>
      <c r="AE805">
        <v>3545.64</v>
      </c>
      <c r="AF805">
        <v>3546</v>
      </c>
      <c r="AG805">
        <v>12060</v>
      </c>
      <c r="AH805">
        <v>10395.36</v>
      </c>
      <c r="AI805" s="5">
        <v>0.35182455071580898</v>
      </c>
    </row>
    <row r="806" spans="14:35" x14ac:dyDescent="0.25">
      <c r="N806" t="s">
        <v>828</v>
      </c>
      <c r="O806" s="1">
        <v>46177.208333333336</v>
      </c>
      <c r="P806" t="s">
        <v>737</v>
      </c>
      <c r="Q806" t="s">
        <v>277</v>
      </c>
      <c r="R806" t="s">
        <v>24</v>
      </c>
      <c r="S806">
        <v>126</v>
      </c>
      <c r="T806" t="s">
        <v>738</v>
      </c>
      <c r="U806">
        <v>450</v>
      </c>
      <c r="V806">
        <v>180</v>
      </c>
      <c r="W806">
        <v>3.5</v>
      </c>
      <c r="X806" t="s">
        <v>278</v>
      </c>
      <c r="Y806">
        <v>8</v>
      </c>
      <c r="Z806">
        <v>0.12</v>
      </c>
      <c r="AA806">
        <v>0.02</v>
      </c>
      <c r="AB806">
        <v>56700</v>
      </c>
      <c r="AC806">
        <v>55566</v>
      </c>
      <c r="AD806">
        <v>441</v>
      </c>
      <c r="AE806">
        <v>6667.92</v>
      </c>
      <c r="AF806">
        <v>6668</v>
      </c>
      <c r="AG806">
        <v>22680</v>
      </c>
      <c r="AH806">
        <v>19550.080000000002</v>
      </c>
      <c r="AI806" s="5">
        <v>0.35183529496454702</v>
      </c>
    </row>
    <row r="807" spans="14:35" x14ac:dyDescent="0.25">
      <c r="N807" t="s">
        <v>829</v>
      </c>
      <c r="O807" s="1">
        <v>46177.333333333336</v>
      </c>
      <c r="P807" t="s">
        <v>737</v>
      </c>
      <c r="Q807" t="s">
        <v>277</v>
      </c>
      <c r="R807" t="s">
        <v>24</v>
      </c>
      <c r="S807">
        <v>68</v>
      </c>
      <c r="T807" t="s">
        <v>738</v>
      </c>
      <c r="U807">
        <v>450</v>
      </c>
      <c r="V807">
        <v>180</v>
      </c>
      <c r="W807">
        <v>3.5</v>
      </c>
      <c r="X807" t="s">
        <v>278</v>
      </c>
      <c r="Y807">
        <v>8</v>
      </c>
      <c r="Z807">
        <v>0.12</v>
      </c>
      <c r="AA807">
        <v>0.02</v>
      </c>
      <c r="AB807">
        <v>30600</v>
      </c>
      <c r="AC807">
        <v>29988</v>
      </c>
      <c r="AD807">
        <v>238</v>
      </c>
      <c r="AE807">
        <v>3598.56</v>
      </c>
      <c r="AF807">
        <v>3599</v>
      </c>
      <c r="AG807">
        <v>12240</v>
      </c>
      <c r="AH807">
        <v>10550.440000000002</v>
      </c>
      <c r="AI807" s="5">
        <v>0.351822062158197</v>
      </c>
    </row>
    <row r="808" spans="14:35" x14ac:dyDescent="0.25">
      <c r="N808" t="s">
        <v>830</v>
      </c>
      <c r="O808" s="1">
        <v>46177.708333333336</v>
      </c>
      <c r="P808" t="s">
        <v>737</v>
      </c>
      <c r="Q808" t="s">
        <v>277</v>
      </c>
      <c r="R808" t="s">
        <v>24</v>
      </c>
      <c r="S808">
        <v>118</v>
      </c>
      <c r="T808" t="s">
        <v>738</v>
      </c>
      <c r="U808">
        <v>450</v>
      </c>
      <c r="V808">
        <v>180</v>
      </c>
      <c r="W808">
        <v>3.5</v>
      </c>
      <c r="X808" t="s">
        <v>278</v>
      </c>
      <c r="Y808">
        <v>8</v>
      </c>
      <c r="Z808">
        <v>0.12</v>
      </c>
      <c r="AA808">
        <v>0.02</v>
      </c>
      <c r="AB808">
        <v>53100</v>
      </c>
      <c r="AC808">
        <v>52038</v>
      </c>
      <c r="AD808">
        <v>413</v>
      </c>
      <c r="AE808">
        <v>6244.5599999999995</v>
      </c>
      <c r="AF808">
        <v>6245</v>
      </c>
      <c r="AG808">
        <v>21240</v>
      </c>
      <c r="AH808">
        <v>18308.440000000002</v>
      </c>
      <c r="AI808" s="5">
        <v>0.35182827933433303</v>
      </c>
    </row>
    <row r="809" spans="14:35" x14ac:dyDescent="0.25">
      <c r="N809" t="s">
        <v>831</v>
      </c>
      <c r="O809" s="1">
        <v>46178.25</v>
      </c>
      <c r="P809" t="s">
        <v>737</v>
      </c>
      <c r="Q809" t="s">
        <v>277</v>
      </c>
      <c r="R809" t="s">
        <v>29</v>
      </c>
      <c r="S809">
        <v>59</v>
      </c>
      <c r="T809" t="s">
        <v>738</v>
      </c>
      <c r="U809">
        <v>450</v>
      </c>
      <c r="V809">
        <v>180</v>
      </c>
      <c r="W809">
        <v>3.5</v>
      </c>
      <c r="X809" t="s">
        <v>278</v>
      </c>
      <c r="Y809">
        <v>8</v>
      </c>
      <c r="Z809">
        <v>0.12</v>
      </c>
      <c r="AA809">
        <v>0.1</v>
      </c>
      <c r="AB809">
        <v>26550</v>
      </c>
      <c r="AC809">
        <v>23895</v>
      </c>
      <c r="AD809">
        <v>206.5</v>
      </c>
      <c r="AE809">
        <v>2867.4</v>
      </c>
      <c r="AF809">
        <v>2867</v>
      </c>
      <c r="AG809">
        <v>10620</v>
      </c>
      <c r="AH809">
        <v>7540.6</v>
      </c>
      <c r="AI809" s="5">
        <v>0.31557229545930099</v>
      </c>
    </row>
    <row r="810" spans="14:35" x14ac:dyDescent="0.25">
      <c r="N810" t="s">
        <v>832</v>
      </c>
      <c r="O810" s="1">
        <v>46178.458333333336</v>
      </c>
      <c r="P810" t="s">
        <v>737</v>
      </c>
      <c r="Q810" t="s">
        <v>277</v>
      </c>
      <c r="R810" t="s">
        <v>24</v>
      </c>
      <c r="S810">
        <v>149</v>
      </c>
      <c r="T810" t="s">
        <v>738</v>
      </c>
      <c r="U810">
        <v>450</v>
      </c>
      <c r="V810">
        <v>180</v>
      </c>
      <c r="W810">
        <v>3.5</v>
      </c>
      <c r="X810" t="s">
        <v>278</v>
      </c>
      <c r="Y810">
        <v>8</v>
      </c>
      <c r="Z810">
        <v>0.12</v>
      </c>
      <c r="AA810">
        <v>0.02</v>
      </c>
      <c r="AB810">
        <v>67050</v>
      </c>
      <c r="AC810">
        <v>65709</v>
      </c>
      <c r="AD810">
        <v>521.5</v>
      </c>
      <c r="AE810">
        <v>7885.08</v>
      </c>
      <c r="AF810">
        <v>7885</v>
      </c>
      <c r="AG810">
        <v>26820</v>
      </c>
      <c r="AH810">
        <v>23118.92</v>
      </c>
      <c r="AI810" s="5">
        <v>0.35183795218310998</v>
      </c>
    </row>
    <row r="811" spans="14:35" x14ac:dyDescent="0.25">
      <c r="N811" t="s">
        <v>833</v>
      </c>
      <c r="O811" s="1">
        <v>46178.875</v>
      </c>
      <c r="P811" t="s">
        <v>737</v>
      </c>
      <c r="Q811" t="s">
        <v>277</v>
      </c>
      <c r="R811" t="s">
        <v>24</v>
      </c>
      <c r="S811">
        <v>77</v>
      </c>
      <c r="T811" t="s">
        <v>738</v>
      </c>
      <c r="U811">
        <v>450</v>
      </c>
      <c r="V811">
        <v>180</v>
      </c>
      <c r="W811">
        <v>3.5</v>
      </c>
      <c r="X811" t="s">
        <v>278</v>
      </c>
      <c r="Y811">
        <v>8</v>
      </c>
      <c r="Z811">
        <v>0.12</v>
      </c>
      <c r="AA811">
        <v>0.02</v>
      </c>
      <c r="AB811">
        <v>34650</v>
      </c>
      <c r="AC811">
        <v>33957</v>
      </c>
      <c r="AD811">
        <v>269.5</v>
      </c>
      <c r="AE811">
        <v>4074.8399999999997</v>
      </c>
      <c r="AF811">
        <v>4075</v>
      </c>
      <c r="AG811">
        <v>13860</v>
      </c>
      <c r="AH811">
        <v>11947.16</v>
      </c>
      <c r="AI811" s="5">
        <v>0.35183202285243098</v>
      </c>
    </row>
    <row r="812" spans="14:35" x14ac:dyDescent="0.25">
      <c r="N812" t="s">
        <v>834</v>
      </c>
      <c r="O812" s="1">
        <v>46178.958333333336</v>
      </c>
      <c r="P812" t="s">
        <v>737</v>
      </c>
      <c r="Q812" t="s">
        <v>277</v>
      </c>
      <c r="R812" t="s">
        <v>24</v>
      </c>
      <c r="S812">
        <v>141</v>
      </c>
      <c r="T812" t="s">
        <v>738</v>
      </c>
      <c r="U812">
        <v>450</v>
      </c>
      <c r="V812">
        <v>180</v>
      </c>
      <c r="W812">
        <v>3.5</v>
      </c>
      <c r="X812" t="s">
        <v>278</v>
      </c>
      <c r="Y812">
        <v>8</v>
      </c>
      <c r="Z812">
        <v>0.12</v>
      </c>
      <c r="AA812">
        <v>0.02</v>
      </c>
      <c r="AB812">
        <v>63450</v>
      </c>
      <c r="AC812">
        <v>62181</v>
      </c>
      <c r="AD812">
        <v>493.5</v>
      </c>
      <c r="AE812">
        <v>7461.7199999999993</v>
      </c>
      <c r="AF812">
        <v>7462</v>
      </c>
      <c r="AG812">
        <v>25380</v>
      </c>
      <c r="AH812">
        <v>21877.279999999999</v>
      </c>
      <c r="AI812" s="5">
        <v>0.35183223171065098</v>
      </c>
    </row>
    <row r="813" spans="14:35" x14ac:dyDescent="0.25">
      <c r="N813" t="s">
        <v>835</v>
      </c>
      <c r="O813" s="1">
        <v>46179.041666666664</v>
      </c>
      <c r="P813" t="s">
        <v>737</v>
      </c>
      <c r="Q813" t="s">
        <v>277</v>
      </c>
      <c r="R813" t="s">
        <v>32</v>
      </c>
      <c r="S813">
        <v>177</v>
      </c>
      <c r="T813" t="s">
        <v>738</v>
      </c>
      <c r="U813">
        <v>450</v>
      </c>
      <c r="V813">
        <v>180</v>
      </c>
      <c r="W813">
        <v>3.5</v>
      </c>
      <c r="X813" t="s">
        <v>278</v>
      </c>
      <c r="Y813">
        <v>8</v>
      </c>
      <c r="Z813">
        <v>0.12</v>
      </c>
      <c r="AA813">
        <v>0.05</v>
      </c>
      <c r="AB813">
        <v>79650</v>
      </c>
      <c r="AC813">
        <v>75668</v>
      </c>
      <c r="AD813">
        <v>619.5</v>
      </c>
      <c r="AE813">
        <v>9080.16</v>
      </c>
      <c r="AF813">
        <v>9080</v>
      </c>
      <c r="AG813">
        <v>31860</v>
      </c>
      <c r="AH813">
        <v>25647.839999999997</v>
      </c>
      <c r="AI813" s="5">
        <v>0.338952265158323</v>
      </c>
    </row>
    <row r="814" spans="14:35" x14ac:dyDescent="0.25">
      <c r="N814" t="s">
        <v>836</v>
      </c>
      <c r="O814" s="1">
        <v>46179.208333333336</v>
      </c>
      <c r="P814" t="s">
        <v>737</v>
      </c>
      <c r="Q814" t="s">
        <v>277</v>
      </c>
      <c r="R814" t="s">
        <v>32</v>
      </c>
      <c r="S814">
        <v>33</v>
      </c>
      <c r="T814" t="s">
        <v>738</v>
      </c>
      <c r="U814">
        <v>450</v>
      </c>
      <c r="V814">
        <v>180</v>
      </c>
      <c r="W814">
        <v>3.5</v>
      </c>
      <c r="X814" t="s">
        <v>278</v>
      </c>
      <c r="Y814">
        <v>8</v>
      </c>
      <c r="Z814">
        <v>0.12</v>
      </c>
      <c r="AA814">
        <v>0.05</v>
      </c>
      <c r="AB814">
        <v>14850</v>
      </c>
      <c r="AC814">
        <v>14108</v>
      </c>
      <c r="AD814">
        <v>115.5</v>
      </c>
      <c r="AE814">
        <v>1692.96</v>
      </c>
      <c r="AF814">
        <v>1693</v>
      </c>
      <c r="AG814">
        <v>5940</v>
      </c>
      <c r="AH814">
        <v>4782.0400000000009</v>
      </c>
      <c r="AI814" s="5">
        <v>0.338959455628013</v>
      </c>
    </row>
    <row r="815" spans="14:35" x14ac:dyDescent="0.25">
      <c r="N815" t="s">
        <v>837</v>
      </c>
      <c r="O815" s="1">
        <v>46179.416666666664</v>
      </c>
      <c r="P815" t="s">
        <v>737</v>
      </c>
      <c r="Q815" t="s">
        <v>277</v>
      </c>
      <c r="R815" t="s">
        <v>32</v>
      </c>
      <c r="S815">
        <v>183</v>
      </c>
      <c r="T815" t="s">
        <v>738</v>
      </c>
      <c r="U815">
        <v>450</v>
      </c>
      <c r="V815">
        <v>180</v>
      </c>
      <c r="W815">
        <v>3.5</v>
      </c>
      <c r="X815" t="s">
        <v>278</v>
      </c>
      <c r="Y815">
        <v>8</v>
      </c>
      <c r="Z815">
        <v>0.12</v>
      </c>
      <c r="AA815">
        <v>0.05</v>
      </c>
      <c r="AB815">
        <v>82350</v>
      </c>
      <c r="AC815">
        <v>78232</v>
      </c>
      <c r="AD815">
        <v>640.5</v>
      </c>
      <c r="AE815">
        <v>9387.84</v>
      </c>
      <c r="AF815">
        <v>9388</v>
      </c>
      <c r="AG815">
        <v>32940</v>
      </c>
      <c r="AH815">
        <v>26516.160000000003</v>
      </c>
      <c r="AI815" s="5">
        <v>0.33894263217097897</v>
      </c>
    </row>
    <row r="816" spans="14:35" x14ac:dyDescent="0.25">
      <c r="N816" t="s">
        <v>838</v>
      </c>
      <c r="O816" s="1">
        <v>46179.541666666664</v>
      </c>
      <c r="P816" t="s">
        <v>737</v>
      </c>
      <c r="Q816" t="s">
        <v>277</v>
      </c>
      <c r="R816" t="s">
        <v>24</v>
      </c>
      <c r="S816">
        <v>50</v>
      </c>
      <c r="T816" t="s">
        <v>738</v>
      </c>
      <c r="U816">
        <v>450</v>
      </c>
      <c r="V816">
        <v>180</v>
      </c>
      <c r="W816">
        <v>3.5</v>
      </c>
      <c r="X816" t="s">
        <v>278</v>
      </c>
      <c r="Y816">
        <v>8</v>
      </c>
      <c r="Z816">
        <v>0.12</v>
      </c>
      <c r="AA816">
        <v>0.02</v>
      </c>
      <c r="AB816">
        <v>22500</v>
      </c>
      <c r="AC816">
        <v>22050</v>
      </c>
      <c r="AD816">
        <v>175</v>
      </c>
      <c r="AE816">
        <v>2646</v>
      </c>
      <c r="AF816">
        <v>2646</v>
      </c>
      <c r="AG816">
        <v>9000</v>
      </c>
      <c r="AH816">
        <v>7758</v>
      </c>
      <c r="AI816" s="5">
        <v>0.35183673469387799</v>
      </c>
    </row>
    <row r="817" spans="14:35" x14ac:dyDescent="0.25">
      <c r="N817" t="s">
        <v>839</v>
      </c>
      <c r="O817" s="1">
        <v>46179.708333333336</v>
      </c>
      <c r="P817" t="s">
        <v>737</v>
      </c>
      <c r="Q817" t="s">
        <v>277</v>
      </c>
      <c r="R817" t="s">
        <v>32</v>
      </c>
      <c r="S817">
        <v>158</v>
      </c>
      <c r="T817" t="s">
        <v>738</v>
      </c>
      <c r="U817">
        <v>450</v>
      </c>
      <c r="V817">
        <v>180</v>
      </c>
      <c r="W817">
        <v>3.5</v>
      </c>
      <c r="X817" t="s">
        <v>278</v>
      </c>
      <c r="Y817">
        <v>8</v>
      </c>
      <c r="Z817">
        <v>0.12</v>
      </c>
      <c r="AA817">
        <v>0.05</v>
      </c>
      <c r="AB817">
        <v>71100</v>
      </c>
      <c r="AC817">
        <v>67545</v>
      </c>
      <c r="AD817">
        <v>553</v>
      </c>
      <c r="AE817">
        <v>8105.4</v>
      </c>
      <c r="AF817">
        <v>8105</v>
      </c>
      <c r="AG817">
        <v>28440</v>
      </c>
      <c r="AH817">
        <v>22894.6</v>
      </c>
      <c r="AI817" s="5">
        <v>0.33895329039899302</v>
      </c>
    </row>
    <row r="818" spans="14:35" x14ac:dyDescent="0.25">
      <c r="N818" t="s">
        <v>840</v>
      </c>
      <c r="O818" s="1">
        <v>46180.833333333336</v>
      </c>
      <c r="P818" t="s">
        <v>737</v>
      </c>
      <c r="Q818" t="s">
        <v>277</v>
      </c>
      <c r="R818" t="s">
        <v>32</v>
      </c>
      <c r="S818">
        <v>142</v>
      </c>
      <c r="T818" t="s">
        <v>738</v>
      </c>
      <c r="U818">
        <v>450</v>
      </c>
      <c r="V818">
        <v>180</v>
      </c>
      <c r="W818">
        <v>3.5</v>
      </c>
      <c r="X818" t="s">
        <v>278</v>
      </c>
      <c r="Y818">
        <v>8</v>
      </c>
      <c r="Z818">
        <v>0.12</v>
      </c>
      <c r="AA818">
        <v>0.05</v>
      </c>
      <c r="AB818">
        <v>63900</v>
      </c>
      <c r="AC818">
        <v>60705</v>
      </c>
      <c r="AD818">
        <v>497</v>
      </c>
      <c r="AE818">
        <v>7284.5999999999995</v>
      </c>
      <c r="AF818">
        <v>7285</v>
      </c>
      <c r="AG818">
        <v>25560</v>
      </c>
      <c r="AH818">
        <v>20575.400000000001</v>
      </c>
      <c r="AI818" s="5">
        <v>0.33894077917799198</v>
      </c>
    </row>
    <row r="819" spans="14:35" x14ac:dyDescent="0.25">
      <c r="N819" t="s">
        <v>841</v>
      </c>
      <c r="O819" s="1">
        <v>46181</v>
      </c>
      <c r="P819" t="s">
        <v>737</v>
      </c>
      <c r="Q819" t="s">
        <v>277</v>
      </c>
      <c r="R819" t="s">
        <v>32</v>
      </c>
      <c r="S819">
        <v>109</v>
      </c>
      <c r="T819" t="s">
        <v>738</v>
      </c>
      <c r="U819">
        <v>450</v>
      </c>
      <c r="V819">
        <v>180</v>
      </c>
      <c r="W819">
        <v>3.5</v>
      </c>
      <c r="X819" t="s">
        <v>278</v>
      </c>
      <c r="Y819">
        <v>8</v>
      </c>
      <c r="Z819">
        <v>0.12</v>
      </c>
      <c r="AA819">
        <v>0.05</v>
      </c>
      <c r="AB819">
        <v>49050</v>
      </c>
      <c r="AC819">
        <v>46598</v>
      </c>
      <c r="AD819">
        <v>381.5</v>
      </c>
      <c r="AE819">
        <v>5591.76</v>
      </c>
      <c r="AF819">
        <v>5592</v>
      </c>
      <c r="AG819">
        <v>19620</v>
      </c>
      <c r="AH819">
        <v>15794.239999999998</v>
      </c>
      <c r="AI819" s="5">
        <v>0.338946735911412</v>
      </c>
    </row>
    <row r="820" spans="14:35" x14ac:dyDescent="0.25">
      <c r="N820" t="s">
        <v>842</v>
      </c>
      <c r="O820" s="1">
        <v>46182.416666666664</v>
      </c>
      <c r="P820" t="s">
        <v>737</v>
      </c>
      <c r="Q820" t="s">
        <v>277</v>
      </c>
      <c r="R820" t="s">
        <v>29</v>
      </c>
      <c r="S820">
        <v>34</v>
      </c>
      <c r="T820" t="s">
        <v>738</v>
      </c>
      <c r="U820">
        <v>450</v>
      </c>
      <c r="V820">
        <v>180</v>
      </c>
      <c r="W820">
        <v>3.5</v>
      </c>
      <c r="X820" t="s">
        <v>278</v>
      </c>
      <c r="Y820">
        <v>8</v>
      </c>
      <c r="Z820">
        <v>0.12</v>
      </c>
      <c r="AA820">
        <v>0.1</v>
      </c>
      <c r="AB820">
        <v>15300</v>
      </c>
      <c r="AC820">
        <v>13770</v>
      </c>
      <c r="AD820">
        <v>119</v>
      </c>
      <c r="AE820">
        <v>1652.3999999999999</v>
      </c>
      <c r="AF820">
        <v>1652</v>
      </c>
      <c r="AG820">
        <v>6120</v>
      </c>
      <c r="AH820">
        <v>4345.6000000000004</v>
      </c>
      <c r="AI820" s="5">
        <v>0.31558460421205498</v>
      </c>
    </row>
    <row r="821" spans="14:35" x14ac:dyDescent="0.25">
      <c r="N821" t="s">
        <v>843</v>
      </c>
      <c r="O821" s="1">
        <v>46183.25</v>
      </c>
      <c r="P821" t="s">
        <v>737</v>
      </c>
      <c r="Q821" t="s">
        <v>277</v>
      </c>
      <c r="R821" t="s">
        <v>29</v>
      </c>
      <c r="S821">
        <v>15</v>
      </c>
      <c r="T821" t="s">
        <v>738</v>
      </c>
      <c r="U821">
        <v>450</v>
      </c>
      <c r="V821">
        <v>180</v>
      </c>
      <c r="W821">
        <v>3.5</v>
      </c>
      <c r="X821" t="s">
        <v>278</v>
      </c>
      <c r="Y821">
        <v>8</v>
      </c>
      <c r="Z821">
        <v>0.12</v>
      </c>
      <c r="AA821">
        <v>0.1</v>
      </c>
      <c r="AB821">
        <v>6750</v>
      </c>
      <c r="AC821">
        <v>6075</v>
      </c>
      <c r="AD821">
        <v>52.5</v>
      </c>
      <c r="AE821">
        <v>729</v>
      </c>
      <c r="AF821">
        <v>729</v>
      </c>
      <c r="AG821">
        <v>2700</v>
      </c>
      <c r="AH821">
        <v>1917</v>
      </c>
      <c r="AI821" s="5">
        <v>0.31555555555555598</v>
      </c>
    </row>
    <row r="822" spans="14:35" x14ac:dyDescent="0.25">
      <c r="N822" t="s">
        <v>844</v>
      </c>
      <c r="O822" s="1">
        <v>46183.5</v>
      </c>
      <c r="P822" t="s">
        <v>737</v>
      </c>
      <c r="Q822" t="s">
        <v>277</v>
      </c>
      <c r="R822" t="s">
        <v>29</v>
      </c>
      <c r="S822">
        <v>182</v>
      </c>
      <c r="T822" t="s">
        <v>738</v>
      </c>
      <c r="U822">
        <v>450</v>
      </c>
      <c r="V822">
        <v>180</v>
      </c>
      <c r="W822">
        <v>3.5</v>
      </c>
      <c r="X822" t="s">
        <v>278</v>
      </c>
      <c r="Y822">
        <v>8</v>
      </c>
      <c r="Z822">
        <v>0.12</v>
      </c>
      <c r="AA822">
        <v>0.1</v>
      </c>
      <c r="AB822">
        <v>81900</v>
      </c>
      <c r="AC822">
        <v>73710</v>
      </c>
      <c r="AD822">
        <v>637</v>
      </c>
      <c r="AE822">
        <v>8845.1999999999989</v>
      </c>
      <c r="AF822">
        <v>8845</v>
      </c>
      <c r="AG822">
        <v>32760</v>
      </c>
      <c r="AH822">
        <v>23259.800000000003</v>
      </c>
      <c r="AI822" s="5">
        <v>0.31555826889160199</v>
      </c>
    </row>
    <row r="823" spans="14:35" x14ac:dyDescent="0.25">
      <c r="N823" t="s">
        <v>845</v>
      </c>
      <c r="O823" s="1">
        <v>46183.75</v>
      </c>
      <c r="P823" t="s">
        <v>737</v>
      </c>
      <c r="Q823" t="s">
        <v>277</v>
      </c>
      <c r="R823" t="s">
        <v>32</v>
      </c>
      <c r="S823">
        <v>10</v>
      </c>
      <c r="T823" t="s">
        <v>738</v>
      </c>
      <c r="U823">
        <v>450</v>
      </c>
      <c r="V823">
        <v>180</v>
      </c>
      <c r="W823">
        <v>3.5</v>
      </c>
      <c r="X823" t="s">
        <v>278</v>
      </c>
      <c r="Y823">
        <v>8</v>
      </c>
      <c r="Z823">
        <v>0.12</v>
      </c>
      <c r="AA823">
        <v>0.05</v>
      </c>
      <c r="AB823">
        <v>4500</v>
      </c>
      <c r="AC823">
        <v>4275</v>
      </c>
      <c r="AD823">
        <v>35</v>
      </c>
      <c r="AE823">
        <v>513</v>
      </c>
      <c r="AF823">
        <v>513</v>
      </c>
      <c r="AG823">
        <v>1800</v>
      </c>
      <c r="AH823">
        <v>1449</v>
      </c>
      <c r="AI823" s="5">
        <v>0.338947368421053</v>
      </c>
    </row>
    <row r="824" spans="14:35" x14ac:dyDescent="0.25">
      <c r="N824" t="s">
        <v>846</v>
      </c>
      <c r="O824" s="1">
        <v>46183.958333333336</v>
      </c>
      <c r="P824" t="s">
        <v>737</v>
      </c>
      <c r="Q824" t="s">
        <v>277</v>
      </c>
      <c r="R824" t="s">
        <v>24</v>
      </c>
      <c r="S824">
        <v>26</v>
      </c>
      <c r="T824" t="s">
        <v>738</v>
      </c>
      <c r="U824">
        <v>450</v>
      </c>
      <c r="V824">
        <v>180</v>
      </c>
      <c r="W824">
        <v>3.5</v>
      </c>
      <c r="X824" t="s">
        <v>278</v>
      </c>
      <c r="Y824">
        <v>8</v>
      </c>
      <c r="Z824">
        <v>0.12</v>
      </c>
      <c r="AA824">
        <v>0.02</v>
      </c>
      <c r="AB824">
        <v>11700</v>
      </c>
      <c r="AC824">
        <v>11466</v>
      </c>
      <c r="AD824">
        <v>91</v>
      </c>
      <c r="AE824">
        <v>1375.9199999999998</v>
      </c>
      <c r="AF824">
        <v>1376</v>
      </c>
      <c r="AG824">
        <v>4680</v>
      </c>
      <c r="AH824">
        <v>4034.08</v>
      </c>
      <c r="AI824" s="5">
        <v>0.351829757544043</v>
      </c>
    </row>
    <row r="825" spans="14:35" x14ac:dyDescent="0.25">
      <c r="N825" t="s">
        <v>847</v>
      </c>
      <c r="O825" s="1">
        <v>46184.208333333336</v>
      </c>
      <c r="P825" t="s">
        <v>737</v>
      </c>
      <c r="Q825" t="s">
        <v>277</v>
      </c>
      <c r="R825" t="s">
        <v>32</v>
      </c>
      <c r="S825">
        <v>168</v>
      </c>
      <c r="T825" t="s">
        <v>738</v>
      </c>
      <c r="U825">
        <v>450</v>
      </c>
      <c r="V825">
        <v>180</v>
      </c>
      <c r="W825">
        <v>3.5</v>
      </c>
      <c r="X825" t="s">
        <v>278</v>
      </c>
      <c r="Y825">
        <v>8</v>
      </c>
      <c r="Z825">
        <v>0.12</v>
      </c>
      <c r="AA825">
        <v>0.05</v>
      </c>
      <c r="AB825">
        <v>75600</v>
      </c>
      <c r="AC825">
        <v>71820</v>
      </c>
      <c r="AD825">
        <v>588</v>
      </c>
      <c r="AE825">
        <v>8618.4</v>
      </c>
      <c r="AF825">
        <v>8618</v>
      </c>
      <c r="AG825">
        <v>30240</v>
      </c>
      <c r="AH825">
        <v>24343.599999999999</v>
      </c>
      <c r="AI825" s="5">
        <v>0.33895293790030601</v>
      </c>
    </row>
    <row r="826" spans="14:35" x14ac:dyDescent="0.25">
      <c r="N826" t="s">
        <v>848</v>
      </c>
      <c r="O826" s="1">
        <v>46184.25</v>
      </c>
      <c r="P826" t="s">
        <v>737</v>
      </c>
      <c r="Q826" t="s">
        <v>277</v>
      </c>
      <c r="R826" t="s">
        <v>24</v>
      </c>
      <c r="S826">
        <v>168</v>
      </c>
      <c r="T826" t="s">
        <v>738</v>
      </c>
      <c r="U826">
        <v>450</v>
      </c>
      <c r="V826">
        <v>180</v>
      </c>
      <c r="W826">
        <v>3.5</v>
      </c>
      <c r="X826" t="s">
        <v>278</v>
      </c>
      <c r="Y826">
        <v>8</v>
      </c>
      <c r="Z826">
        <v>0.12</v>
      </c>
      <c r="AA826">
        <v>0.02</v>
      </c>
      <c r="AB826">
        <v>75600</v>
      </c>
      <c r="AC826">
        <v>74088</v>
      </c>
      <c r="AD826">
        <v>588</v>
      </c>
      <c r="AE826">
        <v>8890.56</v>
      </c>
      <c r="AF826">
        <v>8891</v>
      </c>
      <c r="AG826">
        <v>30240</v>
      </c>
      <c r="AH826">
        <v>26066.440000000002</v>
      </c>
      <c r="AI826" s="5">
        <v>0.35183079581038801</v>
      </c>
    </row>
    <row r="827" spans="14:35" x14ac:dyDescent="0.25">
      <c r="N827" t="s">
        <v>849</v>
      </c>
      <c r="O827" s="1">
        <v>46143.166666666664</v>
      </c>
      <c r="P827" t="s">
        <v>737</v>
      </c>
      <c r="Q827" t="s">
        <v>155</v>
      </c>
      <c r="R827" t="s">
        <v>29</v>
      </c>
      <c r="S827">
        <v>67</v>
      </c>
      <c r="T827" t="s">
        <v>738</v>
      </c>
      <c r="U827">
        <v>450</v>
      </c>
      <c r="V827">
        <v>180</v>
      </c>
      <c r="W827">
        <v>3.5</v>
      </c>
      <c r="X827" t="s">
        <v>156</v>
      </c>
      <c r="Y827">
        <v>12.5</v>
      </c>
      <c r="Z827">
        <v>0.15</v>
      </c>
      <c r="AA827">
        <v>0.1</v>
      </c>
      <c r="AB827">
        <v>30150</v>
      </c>
      <c r="AC827">
        <v>27135</v>
      </c>
      <c r="AD827">
        <v>234.5</v>
      </c>
      <c r="AE827">
        <v>4070.25</v>
      </c>
      <c r="AF827">
        <v>4070</v>
      </c>
      <c r="AG827">
        <v>12060</v>
      </c>
      <c r="AH827">
        <v>6934.75</v>
      </c>
      <c r="AI827" s="5">
        <v>0.25556476874884798</v>
      </c>
    </row>
    <row r="828" spans="14:35" x14ac:dyDescent="0.25">
      <c r="N828" t="s">
        <v>850</v>
      </c>
      <c r="O828" s="1">
        <v>46143.333333333336</v>
      </c>
      <c r="P828" t="s">
        <v>737</v>
      </c>
      <c r="Q828" t="s">
        <v>155</v>
      </c>
      <c r="R828" t="s">
        <v>32</v>
      </c>
      <c r="S828">
        <v>105</v>
      </c>
      <c r="T828" t="s">
        <v>738</v>
      </c>
      <c r="U828">
        <v>450</v>
      </c>
      <c r="V828">
        <v>180</v>
      </c>
      <c r="W828">
        <v>3.5</v>
      </c>
      <c r="X828" t="s">
        <v>156</v>
      </c>
      <c r="Y828">
        <v>12.5</v>
      </c>
      <c r="Z828">
        <v>0.15</v>
      </c>
      <c r="AA828">
        <v>0.05</v>
      </c>
      <c r="AB828">
        <v>47250</v>
      </c>
      <c r="AC828">
        <v>44888</v>
      </c>
      <c r="AD828">
        <v>367.5</v>
      </c>
      <c r="AE828">
        <v>6733.2</v>
      </c>
      <c r="AF828">
        <v>6733</v>
      </c>
      <c r="AG828">
        <v>18900</v>
      </c>
      <c r="AH828">
        <v>12521.8</v>
      </c>
      <c r="AI828" s="5">
        <v>0.27895651399037602</v>
      </c>
    </row>
    <row r="829" spans="14:35" x14ac:dyDescent="0.25">
      <c r="N829" t="s">
        <v>851</v>
      </c>
      <c r="O829" s="1">
        <v>46143.833333333336</v>
      </c>
      <c r="P829" t="s">
        <v>737</v>
      </c>
      <c r="Q829" t="s">
        <v>155</v>
      </c>
      <c r="R829" t="s">
        <v>29</v>
      </c>
      <c r="S829">
        <v>95</v>
      </c>
      <c r="T829" t="s">
        <v>738</v>
      </c>
      <c r="U829">
        <v>450</v>
      </c>
      <c r="V829">
        <v>180</v>
      </c>
      <c r="W829">
        <v>3.5</v>
      </c>
      <c r="X829" t="s">
        <v>156</v>
      </c>
      <c r="Y829">
        <v>12.5</v>
      </c>
      <c r="Z829">
        <v>0.15</v>
      </c>
      <c r="AA829">
        <v>0.1</v>
      </c>
      <c r="AB829">
        <v>42750</v>
      </c>
      <c r="AC829">
        <v>38475</v>
      </c>
      <c r="AD829">
        <v>332.5</v>
      </c>
      <c r="AE829">
        <v>5771.25</v>
      </c>
      <c r="AF829">
        <v>5771</v>
      </c>
      <c r="AG829">
        <v>17100</v>
      </c>
      <c r="AH829">
        <v>9832.75</v>
      </c>
      <c r="AI829" s="5">
        <v>0.25556205328135201</v>
      </c>
    </row>
    <row r="830" spans="14:35" x14ac:dyDescent="0.25">
      <c r="N830" t="s">
        <v>852</v>
      </c>
      <c r="O830" s="1">
        <v>46143.916666666664</v>
      </c>
      <c r="P830" t="s">
        <v>737</v>
      </c>
      <c r="Q830" t="s">
        <v>155</v>
      </c>
      <c r="R830" t="s">
        <v>24</v>
      </c>
      <c r="S830">
        <v>69</v>
      </c>
      <c r="T830" t="s">
        <v>738</v>
      </c>
      <c r="U830">
        <v>450</v>
      </c>
      <c r="V830">
        <v>180</v>
      </c>
      <c r="W830">
        <v>3.5</v>
      </c>
      <c r="X830" t="s">
        <v>156</v>
      </c>
      <c r="Y830">
        <v>12.5</v>
      </c>
      <c r="Z830">
        <v>0.15</v>
      </c>
      <c r="AA830">
        <v>0.02</v>
      </c>
      <c r="AB830">
        <v>31050</v>
      </c>
      <c r="AC830">
        <v>30429</v>
      </c>
      <c r="AD830">
        <v>241.5</v>
      </c>
      <c r="AE830">
        <v>4564.3499999999995</v>
      </c>
      <c r="AF830">
        <v>4564</v>
      </c>
      <c r="AG830">
        <v>12420</v>
      </c>
      <c r="AH830">
        <v>8880.6500000000015</v>
      </c>
      <c r="AI830" s="5">
        <v>0.29184823687929301</v>
      </c>
    </row>
    <row r="831" spans="14:35" x14ac:dyDescent="0.25">
      <c r="N831" t="s">
        <v>853</v>
      </c>
      <c r="O831" s="1">
        <v>46144.125</v>
      </c>
      <c r="P831" t="s">
        <v>737</v>
      </c>
      <c r="Q831" t="s">
        <v>155</v>
      </c>
      <c r="R831" t="s">
        <v>32</v>
      </c>
      <c r="S831">
        <v>79</v>
      </c>
      <c r="T831" t="s">
        <v>738</v>
      </c>
      <c r="U831">
        <v>450</v>
      </c>
      <c r="V831">
        <v>180</v>
      </c>
      <c r="W831">
        <v>3.5</v>
      </c>
      <c r="X831" t="s">
        <v>156</v>
      </c>
      <c r="Y831">
        <v>12.5</v>
      </c>
      <c r="Z831">
        <v>0.15</v>
      </c>
      <c r="AA831">
        <v>0.05</v>
      </c>
      <c r="AB831">
        <v>35550</v>
      </c>
      <c r="AC831">
        <v>33772</v>
      </c>
      <c r="AD831">
        <v>276.5</v>
      </c>
      <c r="AE831">
        <v>5065.8</v>
      </c>
      <c r="AF831">
        <v>5066</v>
      </c>
      <c r="AG831">
        <v>14220</v>
      </c>
      <c r="AH831">
        <v>9420.2000000000007</v>
      </c>
      <c r="AI831" s="5">
        <v>0.27893521260215598</v>
      </c>
    </row>
    <row r="832" spans="14:35" x14ac:dyDescent="0.25">
      <c r="N832" t="s">
        <v>854</v>
      </c>
      <c r="O832" s="1">
        <v>46144.25</v>
      </c>
      <c r="P832" t="s">
        <v>737</v>
      </c>
      <c r="Q832" t="s">
        <v>155</v>
      </c>
      <c r="R832" t="s">
        <v>32</v>
      </c>
      <c r="S832">
        <v>32</v>
      </c>
      <c r="T832" t="s">
        <v>738</v>
      </c>
      <c r="U832">
        <v>450</v>
      </c>
      <c r="V832">
        <v>180</v>
      </c>
      <c r="W832">
        <v>3.5</v>
      </c>
      <c r="X832" t="s">
        <v>156</v>
      </c>
      <c r="Y832">
        <v>12.5</v>
      </c>
      <c r="Z832">
        <v>0.15</v>
      </c>
      <c r="AA832">
        <v>0.05</v>
      </c>
      <c r="AB832">
        <v>14400</v>
      </c>
      <c r="AC832">
        <v>13680</v>
      </c>
      <c r="AD832">
        <v>112</v>
      </c>
      <c r="AE832">
        <v>2052</v>
      </c>
      <c r="AF832">
        <v>2052</v>
      </c>
      <c r="AG832">
        <v>5760</v>
      </c>
      <c r="AH832">
        <v>3816</v>
      </c>
      <c r="AI832" s="5">
        <v>0.278947368421053</v>
      </c>
    </row>
    <row r="833" spans="14:35" x14ac:dyDescent="0.25">
      <c r="N833" t="s">
        <v>855</v>
      </c>
      <c r="O833" s="1">
        <v>46144.666666666664</v>
      </c>
      <c r="P833" t="s">
        <v>737</v>
      </c>
      <c r="Q833" t="s">
        <v>155</v>
      </c>
      <c r="R833" t="s">
        <v>29</v>
      </c>
      <c r="S833">
        <v>112</v>
      </c>
      <c r="T833" t="s">
        <v>738</v>
      </c>
      <c r="U833">
        <v>450</v>
      </c>
      <c r="V833">
        <v>180</v>
      </c>
      <c r="W833">
        <v>3.5</v>
      </c>
      <c r="X833" t="s">
        <v>156</v>
      </c>
      <c r="Y833">
        <v>12.5</v>
      </c>
      <c r="Z833">
        <v>0.15</v>
      </c>
      <c r="AA833">
        <v>0.1</v>
      </c>
      <c r="AB833">
        <v>50400</v>
      </c>
      <c r="AC833">
        <v>45360</v>
      </c>
      <c r="AD833">
        <v>392</v>
      </c>
      <c r="AE833">
        <v>6804</v>
      </c>
      <c r="AF833">
        <v>6804</v>
      </c>
      <c r="AG833">
        <v>20160</v>
      </c>
      <c r="AH833">
        <v>11592</v>
      </c>
      <c r="AI833" s="5">
        <v>0.25555555555555598</v>
      </c>
    </row>
    <row r="834" spans="14:35" x14ac:dyDescent="0.25">
      <c r="N834" t="s">
        <v>856</v>
      </c>
      <c r="O834" s="1">
        <v>46145.541666666664</v>
      </c>
      <c r="P834" t="s">
        <v>737</v>
      </c>
      <c r="Q834" t="s">
        <v>155</v>
      </c>
      <c r="R834" t="s">
        <v>32</v>
      </c>
      <c r="S834">
        <v>143</v>
      </c>
      <c r="T834" t="s">
        <v>738</v>
      </c>
      <c r="U834">
        <v>450</v>
      </c>
      <c r="V834">
        <v>180</v>
      </c>
      <c r="W834">
        <v>3.5</v>
      </c>
      <c r="X834" t="s">
        <v>156</v>
      </c>
      <c r="Y834">
        <v>12.5</v>
      </c>
      <c r="Z834">
        <v>0.15</v>
      </c>
      <c r="AA834">
        <v>0.05</v>
      </c>
      <c r="AB834">
        <v>64350</v>
      </c>
      <c r="AC834">
        <v>61132</v>
      </c>
      <c r="AD834">
        <v>500.5</v>
      </c>
      <c r="AE834">
        <v>9169.7999999999993</v>
      </c>
      <c r="AF834">
        <v>9170</v>
      </c>
      <c r="AG834">
        <v>25740</v>
      </c>
      <c r="AH834">
        <v>17052.199999999997</v>
      </c>
      <c r="AI834" s="5">
        <v>0.27894065301315202</v>
      </c>
    </row>
    <row r="835" spans="14:35" x14ac:dyDescent="0.25">
      <c r="N835" t="s">
        <v>857</v>
      </c>
      <c r="O835" s="1">
        <v>46145.666666666664</v>
      </c>
      <c r="P835" t="s">
        <v>737</v>
      </c>
      <c r="Q835" t="s">
        <v>155</v>
      </c>
      <c r="R835" t="s">
        <v>29</v>
      </c>
      <c r="S835">
        <v>156</v>
      </c>
      <c r="T835" t="s">
        <v>738</v>
      </c>
      <c r="U835">
        <v>450</v>
      </c>
      <c r="V835">
        <v>180</v>
      </c>
      <c r="W835">
        <v>3.5</v>
      </c>
      <c r="X835" t="s">
        <v>156</v>
      </c>
      <c r="Y835">
        <v>12.5</v>
      </c>
      <c r="Z835">
        <v>0.15</v>
      </c>
      <c r="AA835">
        <v>0.1</v>
      </c>
      <c r="AB835">
        <v>70200</v>
      </c>
      <c r="AC835">
        <v>63180</v>
      </c>
      <c r="AD835">
        <v>546</v>
      </c>
      <c r="AE835">
        <v>9477</v>
      </c>
      <c r="AF835">
        <v>9477</v>
      </c>
      <c r="AG835">
        <v>28080</v>
      </c>
      <c r="AH835">
        <v>16146</v>
      </c>
      <c r="AI835" s="5">
        <v>0.25555555555555598</v>
      </c>
    </row>
    <row r="836" spans="14:35" x14ac:dyDescent="0.25">
      <c r="N836" t="s">
        <v>858</v>
      </c>
      <c r="O836" s="1">
        <v>46146.208333333336</v>
      </c>
      <c r="P836" t="s">
        <v>737</v>
      </c>
      <c r="Q836" t="s">
        <v>155</v>
      </c>
      <c r="R836" t="s">
        <v>32</v>
      </c>
      <c r="S836">
        <v>44</v>
      </c>
      <c r="T836" t="s">
        <v>738</v>
      </c>
      <c r="U836">
        <v>450</v>
      </c>
      <c r="V836">
        <v>180</v>
      </c>
      <c r="W836">
        <v>3.5</v>
      </c>
      <c r="X836" t="s">
        <v>156</v>
      </c>
      <c r="Y836">
        <v>12.5</v>
      </c>
      <c r="Z836">
        <v>0.15</v>
      </c>
      <c r="AA836">
        <v>0.05</v>
      </c>
      <c r="AB836">
        <v>19800</v>
      </c>
      <c r="AC836">
        <v>18810</v>
      </c>
      <c r="AD836">
        <v>154</v>
      </c>
      <c r="AE836">
        <v>2821.5</v>
      </c>
      <c r="AF836">
        <v>2822</v>
      </c>
      <c r="AG836">
        <v>7920</v>
      </c>
      <c r="AH836">
        <v>5246.5</v>
      </c>
      <c r="AI836" s="5">
        <v>0.27892078681552401</v>
      </c>
    </row>
    <row r="837" spans="14:35" x14ac:dyDescent="0.25">
      <c r="N837" t="s">
        <v>859</v>
      </c>
      <c r="O837" s="1">
        <v>46146.333333333336</v>
      </c>
      <c r="P837" t="s">
        <v>737</v>
      </c>
      <c r="Q837" t="s">
        <v>155</v>
      </c>
      <c r="R837" t="s">
        <v>24</v>
      </c>
      <c r="S837">
        <v>160</v>
      </c>
      <c r="T837" t="s">
        <v>738</v>
      </c>
      <c r="U837">
        <v>450</v>
      </c>
      <c r="V837">
        <v>180</v>
      </c>
      <c r="W837">
        <v>3.5</v>
      </c>
      <c r="X837" t="s">
        <v>156</v>
      </c>
      <c r="Y837">
        <v>12.5</v>
      </c>
      <c r="Z837">
        <v>0.15</v>
      </c>
      <c r="AA837">
        <v>0.02</v>
      </c>
      <c r="AB837">
        <v>72000</v>
      </c>
      <c r="AC837">
        <v>70560</v>
      </c>
      <c r="AD837">
        <v>560</v>
      </c>
      <c r="AE837">
        <v>10584</v>
      </c>
      <c r="AF837">
        <v>10584</v>
      </c>
      <c r="AG837">
        <v>28800</v>
      </c>
      <c r="AH837">
        <v>20592</v>
      </c>
      <c r="AI837" s="5">
        <v>0.291836734693878</v>
      </c>
    </row>
    <row r="838" spans="14:35" x14ac:dyDescent="0.25">
      <c r="N838" t="s">
        <v>860</v>
      </c>
      <c r="O838" s="1">
        <v>46146.416666666664</v>
      </c>
      <c r="P838" t="s">
        <v>737</v>
      </c>
      <c r="Q838" t="s">
        <v>155</v>
      </c>
      <c r="R838" t="s">
        <v>29</v>
      </c>
      <c r="S838">
        <v>43</v>
      </c>
      <c r="T838" t="s">
        <v>738</v>
      </c>
      <c r="U838">
        <v>450</v>
      </c>
      <c r="V838">
        <v>180</v>
      </c>
      <c r="W838">
        <v>3.5</v>
      </c>
      <c r="X838" t="s">
        <v>156</v>
      </c>
      <c r="Y838">
        <v>12.5</v>
      </c>
      <c r="Z838">
        <v>0.15</v>
      </c>
      <c r="AA838">
        <v>0.1</v>
      </c>
      <c r="AB838">
        <v>19350</v>
      </c>
      <c r="AC838">
        <v>17415</v>
      </c>
      <c r="AD838">
        <v>150.5</v>
      </c>
      <c r="AE838">
        <v>2612.25</v>
      </c>
      <c r="AF838">
        <v>2612</v>
      </c>
      <c r="AG838">
        <v>7740</v>
      </c>
      <c r="AH838">
        <v>4450.75</v>
      </c>
      <c r="AI838" s="5">
        <v>0.25556991099626802</v>
      </c>
    </row>
    <row r="839" spans="14:35" x14ac:dyDescent="0.25">
      <c r="N839" t="s">
        <v>861</v>
      </c>
      <c r="O839" s="1">
        <v>46146.583333333336</v>
      </c>
      <c r="P839" t="s">
        <v>737</v>
      </c>
      <c r="Q839" t="s">
        <v>155</v>
      </c>
      <c r="R839" t="s">
        <v>32</v>
      </c>
      <c r="S839">
        <v>15</v>
      </c>
      <c r="T839" t="s">
        <v>738</v>
      </c>
      <c r="U839">
        <v>450</v>
      </c>
      <c r="V839">
        <v>180</v>
      </c>
      <c r="W839">
        <v>3.5</v>
      </c>
      <c r="X839" t="s">
        <v>156</v>
      </c>
      <c r="Y839">
        <v>12.5</v>
      </c>
      <c r="Z839">
        <v>0.15</v>
      </c>
      <c r="AA839">
        <v>0.05</v>
      </c>
      <c r="AB839">
        <v>6750</v>
      </c>
      <c r="AC839">
        <v>6412</v>
      </c>
      <c r="AD839">
        <v>52.5</v>
      </c>
      <c r="AE839">
        <v>961.8</v>
      </c>
      <c r="AF839">
        <v>962</v>
      </c>
      <c r="AG839">
        <v>2700</v>
      </c>
      <c r="AH839">
        <v>1788.1999999999998</v>
      </c>
      <c r="AI839" s="5">
        <v>0.278883343730505</v>
      </c>
    </row>
    <row r="840" spans="14:35" x14ac:dyDescent="0.25">
      <c r="N840" t="s">
        <v>862</v>
      </c>
      <c r="O840" s="1">
        <v>46146.666666666664</v>
      </c>
      <c r="P840" t="s">
        <v>737</v>
      </c>
      <c r="Q840" t="s">
        <v>155</v>
      </c>
      <c r="R840" t="s">
        <v>32</v>
      </c>
      <c r="S840">
        <v>175</v>
      </c>
      <c r="T840" t="s">
        <v>738</v>
      </c>
      <c r="U840">
        <v>450</v>
      </c>
      <c r="V840">
        <v>180</v>
      </c>
      <c r="W840">
        <v>3.5</v>
      </c>
      <c r="X840" t="s">
        <v>156</v>
      </c>
      <c r="Y840">
        <v>12.5</v>
      </c>
      <c r="Z840">
        <v>0.15</v>
      </c>
      <c r="AA840">
        <v>0.05</v>
      </c>
      <c r="AB840">
        <v>78750</v>
      </c>
      <c r="AC840">
        <v>74812</v>
      </c>
      <c r="AD840">
        <v>612.5</v>
      </c>
      <c r="AE840">
        <v>11221.8</v>
      </c>
      <c r="AF840">
        <v>11222</v>
      </c>
      <c r="AG840">
        <v>31500</v>
      </c>
      <c r="AH840">
        <v>20868.199999999997</v>
      </c>
      <c r="AI840" s="5">
        <v>0.27894188098166101</v>
      </c>
    </row>
    <row r="841" spans="14:35" x14ac:dyDescent="0.25">
      <c r="N841" t="s">
        <v>863</v>
      </c>
      <c r="O841" s="1">
        <v>46146.75</v>
      </c>
      <c r="P841" t="s">
        <v>737</v>
      </c>
      <c r="Q841" t="s">
        <v>155</v>
      </c>
      <c r="R841" t="s">
        <v>24</v>
      </c>
      <c r="S841">
        <v>13</v>
      </c>
      <c r="T841" t="s">
        <v>738</v>
      </c>
      <c r="U841">
        <v>450</v>
      </c>
      <c r="V841">
        <v>180</v>
      </c>
      <c r="W841">
        <v>3.5</v>
      </c>
      <c r="X841" t="s">
        <v>156</v>
      </c>
      <c r="Y841">
        <v>12.5</v>
      </c>
      <c r="Z841">
        <v>0.15</v>
      </c>
      <c r="AA841">
        <v>0.02</v>
      </c>
      <c r="AB841">
        <v>5850</v>
      </c>
      <c r="AC841">
        <v>5733</v>
      </c>
      <c r="AD841">
        <v>45.5</v>
      </c>
      <c r="AE841">
        <v>859.94999999999993</v>
      </c>
      <c r="AF841">
        <v>860</v>
      </c>
      <c r="AG841">
        <v>2340</v>
      </c>
      <c r="AH841">
        <v>1673.0500000000002</v>
      </c>
      <c r="AI841" s="5">
        <v>0.29182801325658497</v>
      </c>
    </row>
    <row r="842" spans="14:35" x14ac:dyDescent="0.25">
      <c r="N842" t="s">
        <v>864</v>
      </c>
      <c r="O842" s="1">
        <v>46147.125</v>
      </c>
      <c r="P842" t="s">
        <v>737</v>
      </c>
      <c r="Q842" t="s">
        <v>155</v>
      </c>
      <c r="R842" t="s">
        <v>29</v>
      </c>
      <c r="S842">
        <v>178</v>
      </c>
      <c r="T842" t="s">
        <v>738</v>
      </c>
      <c r="U842">
        <v>450</v>
      </c>
      <c r="V842">
        <v>180</v>
      </c>
      <c r="W842">
        <v>3.5</v>
      </c>
      <c r="X842" t="s">
        <v>156</v>
      </c>
      <c r="Y842">
        <v>12.5</v>
      </c>
      <c r="Z842">
        <v>0.15</v>
      </c>
      <c r="AA842">
        <v>0.1</v>
      </c>
      <c r="AB842">
        <v>80100</v>
      </c>
      <c r="AC842">
        <v>72090</v>
      </c>
      <c r="AD842">
        <v>623</v>
      </c>
      <c r="AE842">
        <v>10813.5</v>
      </c>
      <c r="AF842">
        <v>10814</v>
      </c>
      <c r="AG842">
        <v>32040</v>
      </c>
      <c r="AH842">
        <v>18422.5</v>
      </c>
      <c r="AI842" s="5">
        <v>0.25554861978082999</v>
      </c>
    </row>
    <row r="843" spans="14:35" x14ac:dyDescent="0.25">
      <c r="N843" t="s">
        <v>865</v>
      </c>
      <c r="O843" s="1">
        <v>46148.166666666664</v>
      </c>
      <c r="P843" t="s">
        <v>737</v>
      </c>
      <c r="Q843" t="s">
        <v>155</v>
      </c>
      <c r="R843" t="s">
        <v>32</v>
      </c>
      <c r="S843">
        <v>85</v>
      </c>
      <c r="T843" t="s">
        <v>738</v>
      </c>
      <c r="U843">
        <v>450</v>
      </c>
      <c r="V843">
        <v>180</v>
      </c>
      <c r="W843">
        <v>3.5</v>
      </c>
      <c r="X843" t="s">
        <v>156</v>
      </c>
      <c r="Y843">
        <v>12.5</v>
      </c>
      <c r="Z843">
        <v>0.15</v>
      </c>
      <c r="AA843">
        <v>0.05</v>
      </c>
      <c r="AB843">
        <v>38250</v>
      </c>
      <c r="AC843">
        <v>36338</v>
      </c>
      <c r="AD843">
        <v>297.5</v>
      </c>
      <c r="AE843">
        <v>5450.7</v>
      </c>
      <c r="AF843">
        <v>5451</v>
      </c>
      <c r="AG843">
        <v>15300</v>
      </c>
      <c r="AH843">
        <v>10136.299999999999</v>
      </c>
      <c r="AI843" s="5">
        <v>0.27894490615884199</v>
      </c>
    </row>
    <row r="844" spans="14:35" x14ac:dyDescent="0.25">
      <c r="N844" t="s">
        <v>866</v>
      </c>
      <c r="O844" s="1">
        <v>46148.208333333336</v>
      </c>
      <c r="P844" t="s">
        <v>737</v>
      </c>
      <c r="Q844" t="s">
        <v>155</v>
      </c>
      <c r="R844" t="s">
        <v>24</v>
      </c>
      <c r="S844">
        <v>104</v>
      </c>
      <c r="T844" t="s">
        <v>738</v>
      </c>
      <c r="U844">
        <v>450</v>
      </c>
      <c r="V844">
        <v>180</v>
      </c>
      <c r="W844">
        <v>3.5</v>
      </c>
      <c r="X844" t="s">
        <v>156</v>
      </c>
      <c r="Y844">
        <v>12.5</v>
      </c>
      <c r="Z844">
        <v>0.15</v>
      </c>
      <c r="AA844">
        <v>0.02</v>
      </c>
      <c r="AB844">
        <v>46800</v>
      </c>
      <c r="AC844">
        <v>45864</v>
      </c>
      <c r="AD844">
        <v>364</v>
      </c>
      <c r="AE844">
        <v>6879.5999999999995</v>
      </c>
      <c r="AF844">
        <v>6880</v>
      </c>
      <c r="AG844">
        <v>18720</v>
      </c>
      <c r="AH844">
        <v>13384.400000000001</v>
      </c>
      <c r="AI844" s="5">
        <v>0.29182801325658497</v>
      </c>
    </row>
    <row r="845" spans="14:35" x14ac:dyDescent="0.25">
      <c r="N845" t="s">
        <v>867</v>
      </c>
      <c r="O845" s="1">
        <v>46148.291666666664</v>
      </c>
      <c r="P845" t="s">
        <v>737</v>
      </c>
      <c r="Q845" t="s">
        <v>155</v>
      </c>
      <c r="R845" t="s">
        <v>29</v>
      </c>
      <c r="S845">
        <v>199</v>
      </c>
      <c r="T845" t="s">
        <v>738</v>
      </c>
      <c r="U845">
        <v>450</v>
      </c>
      <c r="V845">
        <v>180</v>
      </c>
      <c r="W845">
        <v>3.5</v>
      </c>
      <c r="X845" t="s">
        <v>156</v>
      </c>
      <c r="Y845">
        <v>12.5</v>
      </c>
      <c r="Z845">
        <v>0.15</v>
      </c>
      <c r="AA845">
        <v>0.1</v>
      </c>
      <c r="AB845">
        <v>89550</v>
      </c>
      <c r="AC845">
        <v>80595</v>
      </c>
      <c r="AD845">
        <v>696.5</v>
      </c>
      <c r="AE845">
        <v>12089.25</v>
      </c>
      <c r="AF845">
        <v>12089</v>
      </c>
      <c r="AG845">
        <v>35820</v>
      </c>
      <c r="AH845">
        <v>20596.75</v>
      </c>
      <c r="AI845" s="5">
        <v>0.25555865748495599</v>
      </c>
    </row>
    <row r="846" spans="14:35" x14ac:dyDescent="0.25">
      <c r="N846" t="s">
        <v>868</v>
      </c>
      <c r="O846" s="1">
        <v>46148.333333333336</v>
      </c>
      <c r="P846" t="s">
        <v>737</v>
      </c>
      <c r="Q846" t="s">
        <v>155</v>
      </c>
      <c r="R846" t="s">
        <v>32</v>
      </c>
      <c r="S846">
        <v>158</v>
      </c>
      <c r="T846" t="s">
        <v>738</v>
      </c>
      <c r="U846">
        <v>450</v>
      </c>
      <c r="V846">
        <v>180</v>
      </c>
      <c r="W846">
        <v>3.5</v>
      </c>
      <c r="X846" t="s">
        <v>156</v>
      </c>
      <c r="Y846">
        <v>12.5</v>
      </c>
      <c r="Z846">
        <v>0.15</v>
      </c>
      <c r="AA846">
        <v>0.05</v>
      </c>
      <c r="AB846">
        <v>71100</v>
      </c>
      <c r="AC846">
        <v>67545</v>
      </c>
      <c r="AD846">
        <v>553</v>
      </c>
      <c r="AE846">
        <v>10131.75</v>
      </c>
      <c r="AF846">
        <v>10132</v>
      </c>
      <c r="AG846">
        <v>28440</v>
      </c>
      <c r="AH846">
        <v>18841.25</v>
      </c>
      <c r="AI846" s="5">
        <v>0.27894366718483998</v>
      </c>
    </row>
    <row r="847" spans="14:35" x14ac:dyDescent="0.25">
      <c r="N847" t="s">
        <v>869</v>
      </c>
      <c r="O847" s="1">
        <v>46148.416666666664</v>
      </c>
      <c r="P847" t="s">
        <v>737</v>
      </c>
      <c r="Q847" t="s">
        <v>155</v>
      </c>
      <c r="R847" t="s">
        <v>32</v>
      </c>
      <c r="S847">
        <v>125</v>
      </c>
      <c r="T847" t="s">
        <v>738</v>
      </c>
      <c r="U847">
        <v>450</v>
      </c>
      <c r="V847">
        <v>180</v>
      </c>
      <c r="W847">
        <v>3.5</v>
      </c>
      <c r="X847" t="s">
        <v>156</v>
      </c>
      <c r="Y847">
        <v>12.5</v>
      </c>
      <c r="Z847">
        <v>0.15</v>
      </c>
      <c r="AA847">
        <v>0.05</v>
      </c>
      <c r="AB847">
        <v>56250</v>
      </c>
      <c r="AC847">
        <v>53438</v>
      </c>
      <c r="AD847">
        <v>437.5</v>
      </c>
      <c r="AE847">
        <v>8015.7</v>
      </c>
      <c r="AF847">
        <v>8016</v>
      </c>
      <c r="AG847">
        <v>22500</v>
      </c>
      <c r="AH847">
        <v>14906.300000000003</v>
      </c>
      <c r="AI847" s="5">
        <v>0.278945694075377</v>
      </c>
    </row>
    <row r="848" spans="14:35" x14ac:dyDescent="0.25">
      <c r="N848" t="s">
        <v>870</v>
      </c>
      <c r="O848" s="1">
        <v>46148.708333333336</v>
      </c>
      <c r="P848" t="s">
        <v>737</v>
      </c>
      <c r="Q848" t="s">
        <v>155</v>
      </c>
      <c r="R848" t="s">
        <v>24</v>
      </c>
      <c r="S848">
        <v>194</v>
      </c>
      <c r="T848" t="s">
        <v>738</v>
      </c>
      <c r="U848">
        <v>450</v>
      </c>
      <c r="V848">
        <v>180</v>
      </c>
      <c r="W848">
        <v>3.5</v>
      </c>
      <c r="X848" t="s">
        <v>156</v>
      </c>
      <c r="Y848">
        <v>12.5</v>
      </c>
      <c r="Z848">
        <v>0.15</v>
      </c>
      <c r="AA848">
        <v>0.02</v>
      </c>
      <c r="AB848">
        <v>87300</v>
      </c>
      <c r="AC848">
        <v>85554</v>
      </c>
      <c r="AD848">
        <v>679</v>
      </c>
      <c r="AE848">
        <v>12833.1</v>
      </c>
      <c r="AF848">
        <v>12833</v>
      </c>
      <c r="AG848">
        <v>34920</v>
      </c>
      <c r="AH848">
        <v>24967.9</v>
      </c>
      <c r="AI848" s="5">
        <v>0.29183790354629802</v>
      </c>
    </row>
    <row r="849" spans="14:35" x14ac:dyDescent="0.25">
      <c r="N849" t="s">
        <v>871</v>
      </c>
      <c r="O849" s="1">
        <v>46150.125</v>
      </c>
      <c r="P849" t="s">
        <v>737</v>
      </c>
      <c r="Q849" t="s">
        <v>155</v>
      </c>
      <c r="R849" t="s">
        <v>24</v>
      </c>
      <c r="S849">
        <v>199</v>
      </c>
      <c r="T849" t="s">
        <v>738</v>
      </c>
      <c r="U849">
        <v>450</v>
      </c>
      <c r="V849">
        <v>180</v>
      </c>
      <c r="W849">
        <v>3.5</v>
      </c>
      <c r="X849" t="s">
        <v>156</v>
      </c>
      <c r="Y849">
        <v>12.5</v>
      </c>
      <c r="Z849">
        <v>0.15</v>
      </c>
      <c r="AA849">
        <v>0.02</v>
      </c>
      <c r="AB849">
        <v>89550</v>
      </c>
      <c r="AC849">
        <v>87759</v>
      </c>
      <c r="AD849">
        <v>696.5</v>
      </c>
      <c r="AE849">
        <v>13163.85</v>
      </c>
      <c r="AF849">
        <v>13164</v>
      </c>
      <c r="AG849">
        <v>35820</v>
      </c>
      <c r="AH849">
        <v>25611.15</v>
      </c>
      <c r="AI849" s="5">
        <v>0.29183502546747297</v>
      </c>
    </row>
    <row r="850" spans="14:35" x14ac:dyDescent="0.25">
      <c r="N850" t="s">
        <v>872</v>
      </c>
      <c r="O850" s="1">
        <v>46152.166666666664</v>
      </c>
      <c r="P850" t="s">
        <v>737</v>
      </c>
      <c r="Q850" t="s">
        <v>155</v>
      </c>
      <c r="R850" t="s">
        <v>24</v>
      </c>
      <c r="S850">
        <v>39</v>
      </c>
      <c r="T850" t="s">
        <v>738</v>
      </c>
      <c r="U850">
        <v>450</v>
      </c>
      <c r="V850">
        <v>180</v>
      </c>
      <c r="W850">
        <v>3.5</v>
      </c>
      <c r="X850" t="s">
        <v>156</v>
      </c>
      <c r="Y850">
        <v>12.5</v>
      </c>
      <c r="Z850">
        <v>0.15</v>
      </c>
      <c r="AA850">
        <v>0.02</v>
      </c>
      <c r="AB850">
        <v>17550</v>
      </c>
      <c r="AC850">
        <v>17199</v>
      </c>
      <c r="AD850">
        <v>136.5</v>
      </c>
      <c r="AE850">
        <v>2579.85</v>
      </c>
      <c r="AF850">
        <v>2580</v>
      </c>
      <c r="AG850">
        <v>7020</v>
      </c>
      <c r="AH850">
        <v>5019.1499999999996</v>
      </c>
      <c r="AI850" s="5">
        <v>0.29182801325658497</v>
      </c>
    </row>
    <row r="851" spans="14:35" x14ac:dyDescent="0.25">
      <c r="N851" t="s">
        <v>873</v>
      </c>
      <c r="O851" s="1">
        <v>46152.291666666664</v>
      </c>
      <c r="P851" t="s">
        <v>737</v>
      </c>
      <c r="Q851" t="s">
        <v>155</v>
      </c>
      <c r="R851" t="s">
        <v>24</v>
      </c>
      <c r="S851">
        <v>183</v>
      </c>
      <c r="T851" t="s">
        <v>738</v>
      </c>
      <c r="U851">
        <v>450</v>
      </c>
      <c r="V851">
        <v>180</v>
      </c>
      <c r="W851">
        <v>3.5</v>
      </c>
      <c r="X851" t="s">
        <v>156</v>
      </c>
      <c r="Y851">
        <v>12.5</v>
      </c>
      <c r="Z851">
        <v>0.15</v>
      </c>
      <c r="AA851">
        <v>0.02</v>
      </c>
      <c r="AB851">
        <v>82350</v>
      </c>
      <c r="AC851">
        <v>80703</v>
      </c>
      <c r="AD851">
        <v>640.5</v>
      </c>
      <c r="AE851">
        <v>12105.449999999999</v>
      </c>
      <c r="AF851">
        <v>12105</v>
      </c>
      <c r="AG851">
        <v>32940</v>
      </c>
      <c r="AH851">
        <v>23552.550000000003</v>
      </c>
      <c r="AI851" s="5">
        <v>0.29184231069477001</v>
      </c>
    </row>
    <row r="852" spans="14:35" x14ac:dyDescent="0.25">
      <c r="N852" t="s">
        <v>874</v>
      </c>
      <c r="O852" s="1">
        <v>46152.458333333336</v>
      </c>
      <c r="P852" t="s">
        <v>737</v>
      </c>
      <c r="Q852" t="s">
        <v>155</v>
      </c>
      <c r="R852" t="s">
        <v>32</v>
      </c>
      <c r="S852">
        <v>187</v>
      </c>
      <c r="T852" t="s">
        <v>738</v>
      </c>
      <c r="U852">
        <v>450</v>
      </c>
      <c r="V852">
        <v>180</v>
      </c>
      <c r="W852">
        <v>3.5</v>
      </c>
      <c r="X852" t="s">
        <v>156</v>
      </c>
      <c r="Y852">
        <v>12.5</v>
      </c>
      <c r="Z852">
        <v>0.15</v>
      </c>
      <c r="AA852">
        <v>0.05</v>
      </c>
      <c r="AB852">
        <v>84150</v>
      </c>
      <c r="AC852">
        <v>79942</v>
      </c>
      <c r="AD852">
        <v>654.5</v>
      </c>
      <c r="AE852">
        <v>11991.3</v>
      </c>
      <c r="AF852">
        <v>11991</v>
      </c>
      <c r="AG852">
        <v>33660</v>
      </c>
      <c r="AH852">
        <v>22299.699999999997</v>
      </c>
      <c r="AI852" s="5">
        <v>0.27894848765354902</v>
      </c>
    </row>
    <row r="853" spans="14:35" x14ac:dyDescent="0.25">
      <c r="N853" t="s">
        <v>875</v>
      </c>
      <c r="O853" s="1">
        <v>46152.541666666664</v>
      </c>
      <c r="P853" t="s">
        <v>737</v>
      </c>
      <c r="Q853" t="s">
        <v>155</v>
      </c>
      <c r="R853" t="s">
        <v>24</v>
      </c>
      <c r="S853">
        <v>176</v>
      </c>
      <c r="T853" t="s">
        <v>738</v>
      </c>
      <c r="U853">
        <v>450</v>
      </c>
      <c r="V853">
        <v>180</v>
      </c>
      <c r="W853">
        <v>3.5</v>
      </c>
      <c r="X853" t="s">
        <v>156</v>
      </c>
      <c r="Y853">
        <v>12.5</v>
      </c>
      <c r="Z853">
        <v>0.15</v>
      </c>
      <c r="AA853">
        <v>0.02</v>
      </c>
      <c r="AB853">
        <v>79200</v>
      </c>
      <c r="AC853">
        <v>77616</v>
      </c>
      <c r="AD853">
        <v>616</v>
      </c>
      <c r="AE853">
        <v>11642.4</v>
      </c>
      <c r="AF853">
        <v>11642</v>
      </c>
      <c r="AG853">
        <v>31680</v>
      </c>
      <c r="AH853">
        <v>22651.599999999999</v>
      </c>
      <c r="AI853" s="5">
        <v>0.29184188827045998</v>
      </c>
    </row>
    <row r="854" spans="14:35" x14ac:dyDescent="0.25">
      <c r="N854" t="s">
        <v>876</v>
      </c>
      <c r="O854" s="1">
        <v>46152.875</v>
      </c>
      <c r="P854" t="s">
        <v>737</v>
      </c>
      <c r="Q854" t="s">
        <v>155</v>
      </c>
      <c r="R854" t="s">
        <v>24</v>
      </c>
      <c r="S854">
        <v>80</v>
      </c>
      <c r="T854" t="s">
        <v>738</v>
      </c>
      <c r="U854">
        <v>450</v>
      </c>
      <c r="V854">
        <v>180</v>
      </c>
      <c r="W854">
        <v>3.5</v>
      </c>
      <c r="X854" t="s">
        <v>156</v>
      </c>
      <c r="Y854">
        <v>12.5</v>
      </c>
      <c r="Z854">
        <v>0.15</v>
      </c>
      <c r="AA854">
        <v>0.02</v>
      </c>
      <c r="AB854">
        <v>36000</v>
      </c>
      <c r="AC854">
        <v>35280</v>
      </c>
      <c r="AD854">
        <v>280</v>
      </c>
      <c r="AE854">
        <v>5292</v>
      </c>
      <c r="AF854">
        <v>5292</v>
      </c>
      <c r="AG854">
        <v>14400</v>
      </c>
      <c r="AH854">
        <v>10296</v>
      </c>
      <c r="AI854" s="5">
        <v>0.291836734693878</v>
      </c>
    </row>
    <row r="855" spans="14:35" x14ac:dyDescent="0.25">
      <c r="N855" t="s">
        <v>877</v>
      </c>
      <c r="O855" s="1">
        <v>46152.958333333336</v>
      </c>
      <c r="P855" t="s">
        <v>737</v>
      </c>
      <c r="Q855" t="s">
        <v>155</v>
      </c>
      <c r="R855" t="s">
        <v>24</v>
      </c>
      <c r="S855">
        <v>138</v>
      </c>
      <c r="T855" t="s">
        <v>738</v>
      </c>
      <c r="U855">
        <v>450</v>
      </c>
      <c r="V855">
        <v>180</v>
      </c>
      <c r="W855">
        <v>3.5</v>
      </c>
      <c r="X855" t="s">
        <v>156</v>
      </c>
      <c r="Y855">
        <v>12.5</v>
      </c>
      <c r="Z855">
        <v>0.15</v>
      </c>
      <c r="AA855">
        <v>0.02</v>
      </c>
      <c r="AB855">
        <v>62100</v>
      </c>
      <c r="AC855">
        <v>60858</v>
      </c>
      <c r="AD855">
        <v>483</v>
      </c>
      <c r="AE855">
        <v>9128.6999999999989</v>
      </c>
      <c r="AF855">
        <v>9129</v>
      </c>
      <c r="AG855">
        <v>24840</v>
      </c>
      <c r="AH855">
        <v>17760.300000000003</v>
      </c>
      <c r="AI855" s="5">
        <v>0.29183180518584201</v>
      </c>
    </row>
    <row r="856" spans="14:35" x14ac:dyDescent="0.25">
      <c r="N856" t="s">
        <v>878</v>
      </c>
      <c r="O856" s="1">
        <v>46153.208333333336</v>
      </c>
      <c r="P856" t="s">
        <v>737</v>
      </c>
      <c r="Q856" t="s">
        <v>155</v>
      </c>
      <c r="R856" t="s">
        <v>29</v>
      </c>
      <c r="S856">
        <v>93</v>
      </c>
      <c r="T856" t="s">
        <v>738</v>
      </c>
      <c r="U856">
        <v>450</v>
      </c>
      <c r="V856">
        <v>180</v>
      </c>
      <c r="W856">
        <v>3.5</v>
      </c>
      <c r="X856" t="s">
        <v>156</v>
      </c>
      <c r="Y856">
        <v>12.5</v>
      </c>
      <c r="Z856">
        <v>0.15</v>
      </c>
      <c r="AA856">
        <v>0.1</v>
      </c>
      <c r="AB856">
        <v>41850</v>
      </c>
      <c r="AC856">
        <v>37665</v>
      </c>
      <c r="AD856">
        <v>325.5</v>
      </c>
      <c r="AE856">
        <v>5649.75</v>
      </c>
      <c r="AF856">
        <v>5650</v>
      </c>
      <c r="AG856">
        <v>16740</v>
      </c>
      <c r="AH856">
        <v>9625.25</v>
      </c>
      <c r="AI856" s="5">
        <v>0.25554891809372099</v>
      </c>
    </row>
    <row r="857" spans="14:35" x14ac:dyDescent="0.25">
      <c r="N857" t="s">
        <v>879</v>
      </c>
      <c r="O857" s="1">
        <v>46153.375</v>
      </c>
      <c r="P857" t="s">
        <v>737</v>
      </c>
      <c r="Q857" t="s">
        <v>155</v>
      </c>
      <c r="R857" t="s">
        <v>24</v>
      </c>
      <c r="S857">
        <v>111</v>
      </c>
      <c r="T857" t="s">
        <v>738</v>
      </c>
      <c r="U857">
        <v>450</v>
      </c>
      <c r="V857">
        <v>180</v>
      </c>
      <c r="W857">
        <v>3.5</v>
      </c>
      <c r="X857" t="s">
        <v>156</v>
      </c>
      <c r="Y857">
        <v>12.5</v>
      </c>
      <c r="Z857">
        <v>0.15</v>
      </c>
      <c r="AA857">
        <v>0.02</v>
      </c>
      <c r="AB857">
        <v>49950</v>
      </c>
      <c r="AC857">
        <v>48951</v>
      </c>
      <c r="AD857">
        <v>388.5</v>
      </c>
      <c r="AE857">
        <v>7342.65</v>
      </c>
      <c r="AF857">
        <v>7343</v>
      </c>
      <c r="AG857">
        <v>19980</v>
      </c>
      <c r="AH857">
        <v>14285.349999999999</v>
      </c>
      <c r="AI857" s="5">
        <v>0.29182958468672798</v>
      </c>
    </row>
    <row r="858" spans="14:35" x14ac:dyDescent="0.25">
      <c r="N858" t="s">
        <v>880</v>
      </c>
      <c r="O858" s="1">
        <v>46153.583333333336</v>
      </c>
      <c r="P858" t="s">
        <v>737</v>
      </c>
      <c r="Q858" t="s">
        <v>155</v>
      </c>
      <c r="R858" t="s">
        <v>29</v>
      </c>
      <c r="S858">
        <v>173</v>
      </c>
      <c r="T858" t="s">
        <v>738</v>
      </c>
      <c r="U858">
        <v>450</v>
      </c>
      <c r="V858">
        <v>180</v>
      </c>
      <c r="W858">
        <v>3.5</v>
      </c>
      <c r="X858" t="s">
        <v>156</v>
      </c>
      <c r="Y858">
        <v>12.5</v>
      </c>
      <c r="Z858">
        <v>0.15</v>
      </c>
      <c r="AA858">
        <v>0.1</v>
      </c>
      <c r="AB858">
        <v>77850</v>
      </c>
      <c r="AC858">
        <v>70065</v>
      </c>
      <c r="AD858">
        <v>605.5</v>
      </c>
      <c r="AE858">
        <v>10509.75</v>
      </c>
      <c r="AF858">
        <v>10510</v>
      </c>
      <c r="AG858">
        <v>31140</v>
      </c>
      <c r="AH858">
        <v>17905.25</v>
      </c>
      <c r="AI858" s="5">
        <v>0.255551987440234</v>
      </c>
    </row>
    <row r="859" spans="14:35" x14ac:dyDescent="0.25">
      <c r="N859" t="s">
        <v>881</v>
      </c>
      <c r="O859" s="1">
        <v>46153.791666666664</v>
      </c>
      <c r="P859" t="s">
        <v>737</v>
      </c>
      <c r="Q859" t="s">
        <v>155</v>
      </c>
      <c r="R859" t="s">
        <v>24</v>
      </c>
      <c r="S859">
        <v>176</v>
      </c>
      <c r="T859" t="s">
        <v>738</v>
      </c>
      <c r="U859">
        <v>450</v>
      </c>
      <c r="V859">
        <v>180</v>
      </c>
      <c r="W859">
        <v>3.5</v>
      </c>
      <c r="X859" t="s">
        <v>156</v>
      </c>
      <c r="Y859">
        <v>12.5</v>
      </c>
      <c r="Z859">
        <v>0.15</v>
      </c>
      <c r="AA859">
        <v>0.02</v>
      </c>
      <c r="AB859">
        <v>79200</v>
      </c>
      <c r="AC859">
        <v>77616</v>
      </c>
      <c r="AD859">
        <v>616</v>
      </c>
      <c r="AE859">
        <v>11642.4</v>
      </c>
      <c r="AF859">
        <v>11642</v>
      </c>
      <c r="AG859">
        <v>31680</v>
      </c>
      <c r="AH859">
        <v>22651.599999999999</v>
      </c>
      <c r="AI859" s="5">
        <v>0.29184188827045998</v>
      </c>
    </row>
    <row r="860" spans="14:35" x14ac:dyDescent="0.25">
      <c r="N860" t="s">
        <v>882</v>
      </c>
      <c r="O860" s="1">
        <v>46153.875</v>
      </c>
      <c r="P860" t="s">
        <v>737</v>
      </c>
      <c r="Q860" t="s">
        <v>155</v>
      </c>
      <c r="R860" t="s">
        <v>32</v>
      </c>
      <c r="S860">
        <v>193</v>
      </c>
      <c r="T860" t="s">
        <v>738</v>
      </c>
      <c r="U860">
        <v>450</v>
      </c>
      <c r="V860">
        <v>180</v>
      </c>
      <c r="W860">
        <v>3.5</v>
      </c>
      <c r="X860" t="s">
        <v>156</v>
      </c>
      <c r="Y860">
        <v>12.5</v>
      </c>
      <c r="Z860">
        <v>0.15</v>
      </c>
      <c r="AA860">
        <v>0.05</v>
      </c>
      <c r="AB860">
        <v>86850</v>
      </c>
      <c r="AC860">
        <v>82508</v>
      </c>
      <c r="AD860">
        <v>675.5</v>
      </c>
      <c r="AE860">
        <v>12376.199999999999</v>
      </c>
      <c r="AF860">
        <v>12376</v>
      </c>
      <c r="AG860">
        <v>34740</v>
      </c>
      <c r="AH860">
        <v>23015.800000000003</v>
      </c>
      <c r="AI860" s="5">
        <v>0.27895234401512597</v>
      </c>
    </row>
    <row r="861" spans="14:35" x14ac:dyDescent="0.25">
      <c r="N861" t="s">
        <v>883</v>
      </c>
      <c r="O861" s="1">
        <v>46154.666666666664</v>
      </c>
      <c r="P861" t="s">
        <v>737</v>
      </c>
      <c r="Q861" t="s">
        <v>155</v>
      </c>
      <c r="R861" t="s">
        <v>32</v>
      </c>
      <c r="S861">
        <v>130</v>
      </c>
      <c r="T861" t="s">
        <v>738</v>
      </c>
      <c r="U861">
        <v>450</v>
      </c>
      <c r="V861">
        <v>180</v>
      </c>
      <c r="W861">
        <v>3.5</v>
      </c>
      <c r="X861" t="s">
        <v>156</v>
      </c>
      <c r="Y861">
        <v>12.5</v>
      </c>
      <c r="Z861">
        <v>0.15</v>
      </c>
      <c r="AA861">
        <v>0.05</v>
      </c>
      <c r="AB861">
        <v>58500</v>
      </c>
      <c r="AC861">
        <v>55575</v>
      </c>
      <c r="AD861">
        <v>455</v>
      </c>
      <c r="AE861">
        <v>8336.25</v>
      </c>
      <c r="AF861">
        <v>8336</v>
      </c>
      <c r="AG861">
        <v>23400</v>
      </c>
      <c r="AH861">
        <v>15502.75</v>
      </c>
      <c r="AI861" s="5">
        <v>0.278951866846604</v>
      </c>
    </row>
    <row r="862" spans="14:35" x14ac:dyDescent="0.25">
      <c r="N862" t="s">
        <v>884</v>
      </c>
      <c r="O862" s="1">
        <v>46155.25</v>
      </c>
      <c r="P862" t="s">
        <v>737</v>
      </c>
      <c r="Q862" t="s">
        <v>155</v>
      </c>
      <c r="R862" t="s">
        <v>29</v>
      </c>
      <c r="S862">
        <v>23</v>
      </c>
      <c r="T862" t="s">
        <v>738</v>
      </c>
      <c r="U862">
        <v>450</v>
      </c>
      <c r="V862">
        <v>180</v>
      </c>
      <c r="W862">
        <v>3.5</v>
      </c>
      <c r="X862" t="s">
        <v>156</v>
      </c>
      <c r="Y862">
        <v>12.5</v>
      </c>
      <c r="Z862">
        <v>0.15</v>
      </c>
      <c r="AA862">
        <v>0.1</v>
      </c>
      <c r="AB862">
        <v>10350</v>
      </c>
      <c r="AC862">
        <v>9315</v>
      </c>
      <c r="AD862">
        <v>80.5</v>
      </c>
      <c r="AE862">
        <v>1397.25</v>
      </c>
      <c r="AF862">
        <v>1397</v>
      </c>
      <c r="AG862">
        <v>4140</v>
      </c>
      <c r="AH862">
        <v>2380.75</v>
      </c>
      <c r="AI862" s="5">
        <v>0.25558239398819099</v>
      </c>
    </row>
    <row r="863" spans="14:35" x14ac:dyDescent="0.25">
      <c r="N863" t="s">
        <v>885</v>
      </c>
      <c r="O863" s="1">
        <v>46157.041666666664</v>
      </c>
      <c r="P863" t="s">
        <v>737</v>
      </c>
      <c r="Q863" t="s">
        <v>155</v>
      </c>
      <c r="R863" t="s">
        <v>29</v>
      </c>
      <c r="S863">
        <v>45</v>
      </c>
      <c r="T863" t="s">
        <v>738</v>
      </c>
      <c r="U863">
        <v>450</v>
      </c>
      <c r="V863">
        <v>180</v>
      </c>
      <c r="W863">
        <v>3.5</v>
      </c>
      <c r="X863" t="s">
        <v>156</v>
      </c>
      <c r="Y863">
        <v>12.5</v>
      </c>
      <c r="Z863">
        <v>0.15</v>
      </c>
      <c r="AA863">
        <v>0.1</v>
      </c>
      <c r="AB863">
        <v>20250</v>
      </c>
      <c r="AC863">
        <v>18225</v>
      </c>
      <c r="AD863">
        <v>157.5</v>
      </c>
      <c r="AE863">
        <v>2733.75</v>
      </c>
      <c r="AF863">
        <v>2734</v>
      </c>
      <c r="AG863">
        <v>8100</v>
      </c>
      <c r="AH863">
        <v>4657.25</v>
      </c>
      <c r="AI863" s="5">
        <v>0.25554183813443099</v>
      </c>
    </row>
    <row r="864" spans="14:35" x14ac:dyDescent="0.25">
      <c r="N864" t="s">
        <v>886</v>
      </c>
      <c r="O864" s="1">
        <v>46157.708333333336</v>
      </c>
      <c r="P864" t="s">
        <v>737</v>
      </c>
      <c r="Q864" t="s">
        <v>155</v>
      </c>
      <c r="R864" t="s">
        <v>24</v>
      </c>
      <c r="S864">
        <v>155</v>
      </c>
      <c r="T864" t="s">
        <v>738</v>
      </c>
      <c r="U864">
        <v>450</v>
      </c>
      <c r="V864">
        <v>180</v>
      </c>
      <c r="W864">
        <v>3.5</v>
      </c>
      <c r="X864" t="s">
        <v>156</v>
      </c>
      <c r="Y864">
        <v>12.5</v>
      </c>
      <c r="Z864">
        <v>0.15</v>
      </c>
      <c r="AA864">
        <v>0.02</v>
      </c>
      <c r="AB864">
        <v>69750</v>
      </c>
      <c r="AC864">
        <v>68355</v>
      </c>
      <c r="AD864">
        <v>542.5</v>
      </c>
      <c r="AE864">
        <v>10253.25</v>
      </c>
      <c r="AF864">
        <v>10253</v>
      </c>
      <c r="AG864">
        <v>27900</v>
      </c>
      <c r="AH864">
        <v>19948.75</v>
      </c>
      <c r="AI864" s="5">
        <v>0.29184039207080698</v>
      </c>
    </row>
    <row r="865" spans="14:35" x14ac:dyDescent="0.25">
      <c r="N865" t="s">
        <v>887</v>
      </c>
      <c r="O865" s="1">
        <v>46158.375</v>
      </c>
      <c r="P865" t="s">
        <v>737</v>
      </c>
      <c r="Q865" t="s">
        <v>155</v>
      </c>
      <c r="R865" t="s">
        <v>32</v>
      </c>
      <c r="S865">
        <v>12</v>
      </c>
      <c r="T865" t="s">
        <v>738</v>
      </c>
      <c r="U865">
        <v>450</v>
      </c>
      <c r="V865">
        <v>180</v>
      </c>
      <c r="W865">
        <v>3.5</v>
      </c>
      <c r="X865" t="s">
        <v>156</v>
      </c>
      <c r="Y865">
        <v>12.5</v>
      </c>
      <c r="Z865">
        <v>0.15</v>
      </c>
      <c r="AA865">
        <v>0.05</v>
      </c>
      <c r="AB865">
        <v>5400</v>
      </c>
      <c r="AC865">
        <v>5130</v>
      </c>
      <c r="AD865">
        <v>42</v>
      </c>
      <c r="AE865">
        <v>769.5</v>
      </c>
      <c r="AF865">
        <v>770</v>
      </c>
      <c r="AG865">
        <v>2160</v>
      </c>
      <c r="AH865">
        <v>1430.5</v>
      </c>
      <c r="AI865" s="5">
        <v>0.27884990253411301</v>
      </c>
    </row>
    <row r="866" spans="14:35" x14ac:dyDescent="0.25">
      <c r="N866" t="s">
        <v>888</v>
      </c>
      <c r="O866" s="1">
        <v>46159.416666666664</v>
      </c>
      <c r="P866" t="s">
        <v>737</v>
      </c>
      <c r="Q866" t="s">
        <v>155</v>
      </c>
      <c r="R866" t="s">
        <v>29</v>
      </c>
      <c r="S866">
        <v>110</v>
      </c>
      <c r="T866" t="s">
        <v>738</v>
      </c>
      <c r="U866">
        <v>450</v>
      </c>
      <c r="V866">
        <v>180</v>
      </c>
      <c r="W866">
        <v>3.5</v>
      </c>
      <c r="X866" t="s">
        <v>156</v>
      </c>
      <c r="Y866">
        <v>12.5</v>
      </c>
      <c r="Z866">
        <v>0.15</v>
      </c>
      <c r="AA866">
        <v>0.1</v>
      </c>
      <c r="AB866">
        <v>49500</v>
      </c>
      <c r="AC866">
        <v>44550</v>
      </c>
      <c r="AD866">
        <v>385</v>
      </c>
      <c r="AE866">
        <v>6682.5</v>
      </c>
      <c r="AF866">
        <v>6682</v>
      </c>
      <c r="AG866">
        <v>19800</v>
      </c>
      <c r="AH866">
        <v>11385.5</v>
      </c>
      <c r="AI866" s="5">
        <v>0.25556677890011198</v>
      </c>
    </row>
    <row r="867" spans="14:35" x14ac:dyDescent="0.25">
      <c r="N867" t="s">
        <v>889</v>
      </c>
      <c r="O867" s="1">
        <v>46161.625</v>
      </c>
      <c r="P867" t="s">
        <v>737</v>
      </c>
      <c r="Q867" t="s">
        <v>155</v>
      </c>
      <c r="R867" t="s">
        <v>29</v>
      </c>
      <c r="S867">
        <v>61</v>
      </c>
      <c r="T867" t="s">
        <v>738</v>
      </c>
      <c r="U867">
        <v>450</v>
      </c>
      <c r="V867">
        <v>180</v>
      </c>
      <c r="W867">
        <v>3.5</v>
      </c>
      <c r="X867" t="s">
        <v>156</v>
      </c>
      <c r="Y867">
        <v>12.5</v>
      </c>
      <c r="Z867">
        <v>0.15</v>
      </c>
      <c r="AA867">
        <v>0.1</v>
      </c>
      <c r="AB867">
        <v>27450</v>
      </c>
      <c r="AC867">
        <v>24705</v>
      </c>
      <c r="AD867">
        <v>213.5</v>
      </c>
      <c r="AE867">
        <v>3705.75</v>
      </c>
      <c r="AF867">
        <v>3706</v>
      </c>
      <c r="AG867">
        <v>10980</v>
      </c>
      <c r="AH867">
        <v>6313.25</v>
      </c>
      <c r="AI867" s="5">
        <v>0.25554543614652903</v>
      </c>
    </row>
    <row r="868" spans="14:35" x14ac:dyDescent="0.25">
      <c r="N868" t="s">
        <v>890</v>
      </c>
      <c r="O868" s="1">
        <v>46162.333333333336</v>
      </c>
      <c r="P868" t="s">
        <v>737</v>
      </c>
      <c r="Q868" t="s">
        <v>155</v>
      </c>
      <c r="R868" t="s">
        <v>24</v>
      </c>
      <c r="S868">
        <v>186</v>
      </c>
      <c r="T868" t="s">
        <v>738</v>
      </c>
      <c r="U868">
        <v>450</v>
      </c>
      <c r="V868">
        <v>180</v>
      </c>
      <c r="W868">
        <v>3.5</v>
      </c>
      <c r="X868" t="s">
        <v>156</v>
      </c>
      <c r="Y868">
        <v>12.5</v>
      </c>
      <c r="Z868">
        <v>0.15</v>
      </c>
      <c r="AA868">
        <v>0.02</v>
      </c>
      <c r="AB868">
        <v>83700</v>
      </c>
      <c r="AC868">
        <v>82026</v>
      </c>
      <c r="AD868">
        <v>651</v>
      </c>
      <c r="AE868">
        <v>12303.9</v>
      </c>
      <c r="AF868">
        <v>12304</v>
      </c>
      <c r="AG868">
        <v>33480</v>
      </c>
      <c r="AH868">
        <v>23938.1</v>
      </c>
      <c r="AI868" s="5">
        <v>0.29183551556823401</v>
      </c>
    </row>
    <row r="869" spans="14:35" x14ac:dyDescent="0.25">
      <c r="N869" t="s">
        <v>891</v>
      </c>
      <c r="O869" s="1">
        <v>46162.875</v>
      </c>
      <c r="P869" t="s">
        <v>737</v>
      </c>
      <c r="Q869" t="s">
        <v>155</v>
      </c>
      <c r="R869" t="s">
        <v>29</v>
      </c>
      <c r="S869">
        <v>39</v>
      </c>
      <c r="T869" t="s">
        <v>738</v>
      </c>
      <c r="U869">
        <v>450</v>
      </c>
      <c r="V869">
        <v>180</v>
      </c>
      <c r="W869">
        <v>3.5</v>
      </c>
      <c r="X869" t="s">
        <v>156</v>
      </c>
      <c r="Y869">
        <v>12.5</v>
      </c>
      <c r="Z869">
        <v>0.15</v>
      </c>
      <c r="AA869">
        <v>0.1</v>
      </c>
      <c r="AB869">
        <v>17550</v>
      </c>
      <c r="AC869">
        <v>15795</v>
      </c>
      <c r="AD869">
        <v>136.5</v>
      </c>
      <c r="AE869">
        <v>2369.25</v>
      </c>
      <c r="AF869">
        <v>2369</v>
      </c>
      <c r="AG869">
        <v>7020</v>
      </c>
      <c r="AH869">
        <v>4036.75</v>
      </c>
      <c r="AI869" s="5">
        <v>0.25557138334916102</v>
      </c>
    </row>
    <row r="870" spans="14:35" x14ac:dyDescent="0.25">
      <c r="N870" t="s">
        <v>892</v>
      </c>
      <c r="O870" s="1">
        <v>46163.166666666664</v>
      </c>
      <c r="P870" t="s">
        <v>737</v>
      </c>
      <c r="Q870" t="s">
        <v>155</v>
      </c>
      <c r="R870" t="s">
        <v>24</v>
      </c>
      <c r="S870">
        <v>128</v>
      </c>
      <c r="T870" t="s">
        <v>738</v>
      </c>
      <c r="U870">
        <v>450</v>
      </c>
      <c r="V870">
        <v>180</v>
      </c>
      <c r="W870">
        <v>3.5</v>
      </c>
      <c r="X870" t="s">
        <v>156</v>
      </c>
      <c r="Y870">
        <v>12.5</v>
      </c>
      <c r="Z870">
        <v>0.15</v>
      </c>
      <c r="AA870">
        <v>0.02</v>
      </c>
      <c r="AB870">
        <v>57600</v>
      </c>
      <c r="AC870">
        <v>56448</v>
      </c>
      <c r="AD870">
        <v>448</v>
      </c>
      <c r="AE870">
        <v>8467.1999999999989</v>
      </c>
      <c r="AF870">
        <v>8467</v>
      </c>
      <c r="AG870">
        <v>23040</v>
      </c>
      <c r="AH870">
        <v>16473.800000000003</v>
      </c>
      <c r="AI870" s="5">
        <v>0.29184027777777799</v>
      </c>
    </row>
    <row r="871" spans="14:35" x14ac:dyDescent="0.25">
      <c r="N871" t="s">
        <v>893</v>
      </c>
      <c r="O871" s="1">
        <v>46163.375</v>
      </c>
      <c r="P871" t="s">
        <v>737</v>
      </c>
      <c r="Q871" t="s">
        <v>155</v>
      </c>
      <c r="R871" t="s">
        <v>29</v>
      </c>
      <c r="S871">
        <v>120</v>
      </c>
      <c r="T871" t="s">
        <v>738</v>
      </c>
      <c r="U871">
        <v>450</v>
      </c>
      <c r="V871">
        <v>180</v>
      </c>
      <c r="W871">
        <v>3.5</v>
      </c>
      <c r="X871" t="s">
        <v>156</v>
      </c>
      <c r="Y871">
        <v>12.5</v>
      </c>
      <c r="Z871">
        <v>0.15</v>
      </c>
      <c r="AA871">
        <v>0.1</v>
      </c>
      <c r="AB871">
        <v>54000</v>
      </c>
      <c r="AC871">
        <v>48600</v>
      </c>
      <c r="AD871">
        <v>420</v>
      </c>
      <c r="AE871">
        <v>7290</v>
      </c>
      <c r="AF871">
        <v>7290</v>
      </c>
      <c r="AG871">
        <v>21600</v>
      </c>
      <c r="AH871">
        <v>12420</v>
      </c>
      <c r="AI871" s="5">
        <v>0.25555555555555598</v>
      </c>
    </row>
    <row r="872" spans="14:35" x14ac:dyDescent="0.25">
      <c r="N872" t="s">
        <v>894</v>
      </c>
      <c r="O872" s="1">
        <v>46163.75</v>
      </c>
      <c r="P872" t="s">
        <v>737</v>
      </c>
      <c r="Q872" t="s">
        <v>155</v>
      </c>
      <c r="R872" t="s">
        <v>24</v>
      </c>
      <c r="S872">
        <v>110</v>
      </c>
      <c r="T872" t="s">
        <v>738</v>
      </c>
      <c r="U872">
        <v>450</v>
      </c>
      <c r="V872">
        <v>180</v>
      </c>
      <c r="W872">
        <v>3.5</v>
      </c>
      <c r="X872" t="s">
        <v>156</v>
      </c>
      <c r="Y872">
        <v>12.5</v>
      </c>
      <c r="Z872">
        <v>0.15</v>
      </c>
      <c r="AA872">
        <v>0.02</v>
      </c>
      <c r="AB872">
        <v>49500</v>
      </c>
      <c r="AC872">
        <v>48510</v>
      </c>
      <c r="AD872">
        <v>385</v>
      </c>
      <c r="AE872">
        <v>7276.5</v>
      </c>
      <c r="AF872">
        <v>7276</v>
      </c>
      <c r="AG872">
        <v>19800</v>
      </c>
      <c r="AH872">
        <v>14157.5</v>
      </c>
      <c r="AI872" s="5">
        <v>0.29184704184704202</v>
      </c>
    </row>
    <row r="873" spans="14:35" x14ac:dyDescent="0.25">
      <c r="N873" t="s">
        <v>895</v>
      </c>
      <c r="O873" s="1">
        <v>46164.125</v>
      </c>
      <c r="P873" t="s">
        <v>737</v>
      </c>
      <c r="Q873" t="s">
        <v>155</v>
      </c>
      <c r="R873" t="s">
        <v>32</v>
      </c>
      <c r="S873">
        <v>11</v>
      </c>
      <c r="T873" t="s">
        <v>738</v>
      </c>
      <c r="U873">
        <v>450</v>
      </c>
      <c r="V873">
        <v>180</v>
      </c>
      <c r="W873">
        <v>3.5</v>
      </c>
      <c r="X873" t="s">
        <v>156</v>
      </c>
      <c r="Y873">
        <v>12.5</v>
      </c>
      <c r="Z873">
        <v>0.15</v>
      </c>
      <c r="AA873">
        <v>0.05</v>
      </c>
      <c r="AB873">
        <v>4950</v>
      </c>
      <c r="AC873">
        <v>4702</v>
      </c>
      <c r="AD873">
        <v>38.5</v>
      </c>
      <c r="AE873">
        <v>705.3</v>
      </c>
      <c r="AF873">
        <v>705</v>
      </c>
      <c r="AG873">
        <v>1980</v>
      </c>
      <c r="AH873">
        <v>1311.6999999999998</v>
      </c>
      <c r="AI873" s="5">
        <v>0.27896639727775402</v>
      </c>
    </row>
    <row r="874" spans="14:35" x14ac:dyDescent="0.25">
      <c r="N874" t="s">
        <v>896</v>
      </c>
      <c r="O874" s="1">
        <v>46164.333333333336</v>
      </c>
      <c r="P874" t="s">
        <v>737</v>
      </c>
      <c r="Q874" t="s">
        <v>155</v>
      </c>
      <c r="R874" t="s">
        <v>29</v>
      </c>
      <c r="S874">
        <v>179</v>
      </c>
      <c r="T874" t="s">
        <v>738</v>
      </c>
      <c r="U874">
        <v>450</v>
      </c>
      <c r="V874">
        <v>180</v>
      </c>
      <c r="W874">
        <v>3.5</v>
      </c>
      <c r="X874" t="s">
        <v>156</v>
      </c>
      <c r="Y874">
        <v>12.5</v>
      </c>
      <c r="Z874">
        <v>0.15</v>
      </c>
      <c r="AA874">
        <v>0.1</v>
      </c>
      <c r="AB874">
        <v>80550</v>
      </c>
      <c r="AC874">
        <v>72495</v>
      </c>
      <c r="AD874">
        <v>626.5</v>
      </c>
      <c r="AE874">
        <v>10874.25</v>
      </c>
      <c r="AF874">
        <v>10874</v>
      </c>
      <c r="AG874">
        <v>32220</v>
      </c>
      <c r="AH874">
        <v>18526.75</v>
      </c>
      <c r="AI874" s="5">
        <v>0.25555900406924598</v>
      </c>
    </row>
    <row r="875" spans="14:35" x14ac:dyDescent="0.25">
      <c r="N875" t="s">
        <v>897</v>
      </c>
      <c r="O875" s="1">
        <v>46164.416666666664</v>
      </c>
      <c r="P875" t="s">
        <v>737</v>
      </c>
      <c r="Q875" t="s">
        <v>155</v>
      </c>
      <c r="R875" t="s">
        <v>29</v>
      </c>
      <c r="S875">
        <v>142</v>
      </c>
      <c r="T875" t="s">
        <v>738</v>
      </c>
      <c r="U875">
        <v>450</v>
      </c>
      <c r="V875">
        <v>180</v>
      </c>
      <c r="W875">
        <v>3.5</v>
      </c>
      <c r="X875" t="s">
        <v>156</v>
      </c>
      <c r="Y875">
        <v>12.5</v>
      </c>
      <c r="Z875">
        <v>0.15</v>
      </c>
      <c r="AA875">
        <v>0.1</v>
      </c>
      <c r="AB875">
        <v>63900</v>
      </c>
      <c r="AC875">
        <v>57510</v>
      </c>
      <c r="AD875">
        <v>497</v>
      </c>
      <c r="AE875">
        <v>8626.5</v>
      </c>
      <c r="AF875">
        <v>8626</v>
      </c>
      <c r="AG875">
        <v>25560</v>
      </c>
      <c r="AH875">
        <v>14697.5</v>
      </c>
      <c r="AI875" s="5">
        <v>0.25556424969570501</v>
      </c>
    </row>
    <row r="876" spans="14:35" x14ac:dyDescent="0.25">
      <c r="N876" t="s">
        <v>898</v>
      </c>
      <c r="O876" s="1">
        <v>46164.708333333336</v>
      </c>
      <c r="P876" t="s">
        <v>737</v>
      </c>
      <c r="Q876" t="s">
        <v>155</v>
      </c>
      <c r="R876" t="s">
        <v>24</v>
      </c>
      <c r="S876">
        <v>98</v>
      </c>
      <c r="T876" t="s">
        <v>738</v>
      </c>
      <c r="U876">
        <v>450</v>
      </c>
      <c r="V876">
        <v>180</v>
      </c>
      <c r="W876">
        <v>3.5</v>
      </c>
      <c r="X876" t="s">
        <v>156</v>
      </c>
      <c r="Y876">
        <v>12.5</v>
      </c>
      <c r="Z876">
        <v>0.15</v>
      </c>
      <c r="AA876">
        <v>0.02</v>
      </c>
      <c r="AB876">
        <v>44100</v>
      </c>
      <c r="AC876">
        <v>43218</v>
      </c>
      <c r="AD876">
        <v>343</v>
      </c>
      <c r="AE876">
        <v>6482.7</v>
      </c>
      <c r="AF876">
        <v>6483</v>
      </c>
      <c r="AG876">
        <v>17640</v>
      </c>
      <c r="AH876">
        <v>12612.3</v>
      </c>
      <c r="AI876" s="5">
        <v>0.29182979314174601</v>
      </c>
    </row>
    <row r="877" spans="14:35" x14ac:dyDescent="0.25">
      <c r="N877" t="s">
        <v>899</v>
      </c>
      <c r="O877" s="1">
        <v>46165.875</v>
      </c>
      <c r="P877" t="s">
        <v>737</v>
      </c>
      <c r="Q877" t="s">
        <v>155</v>
      </c>
      <c r="R877" t="s">
        <v>24</v>
      </c>
      <c r="S877">
        <v>196</v>
      </c>
      <c r="T877" t="s">
        <v>738</v>
      </c>
      <c r="U877">
        <v>450</v>
      </c>
      <c r="V877">
        <v>180</v>
      </c>
      <c r="W877">
        <v>3.5</v>
      </c>
      <c r="X877" t="s">
        <v>156</v>
      </c>
      <c r="Y877">
        <v>12.5</v>
      </c>
      <c r="Z877">
        <v>0.15</v>
      </c>
      <c r="AA877">
        <v>0.02</v>
      </c>
      <c r="AB877">
        <v>88200</v>
      </c>
      <c r="AC877">
        <v>86436</v>
      </c>
      <c r="AD877">
        <v>686</v>
      </c>
      <c r="AE877">
        <v>12965.4</v>
      </c>
      <c r="AF877">
        <v>12965</v>
      </c>
      <c r="AG877">
        <v>35280</v>
      </c>
      <c r="AH877">
        <v>25225.599999999999</v>
      </c>
      <c r="AI877" s="5">
        <v>0.29184136239529801</v>
      </c>
    </row>
    <row r="878" spans="14:35" x14ac:dyDescent="0.25">
      <c r="N878" t="s">
        <v>900</v>
      </c>
      <c r="O878" s="1">
        <v>46166.458333333336</v>
      </c>
      <c r="P878" t="s">
        <v>737</v>
      </c>
      <c r="Q878" t="s">
        <v>155</v>
      </c>
      <c r="R878" t="s">
        <v>32</v>
      </c>
      <c r="S878">
        <v>133</v>
      </c>
      <c r="T878" t="s">
        <v>738</v>
      </c>
      <c r="U878">
        <v>450</v>
      </c>
      <c r="V878">
        <v>180</v>
      </c>
      <c r="W878">
        <v>3.5</v>
      </c>
      <c r="X878" t="s">
        <v>156</v>
      </c>
      <c r="Y878">
        <v>12.5</v>
      </c>
      <c r="Z878">
        <v>0.15</v>
      </c>
      <c r="AA878">
        <v>0.05</v>
      </c>
      <c r="AB878">
        <v>59850</v>
      </c>
      <c r="AC878">
        <v>56858</v>
      </c>
      <c r="AD878">
        <v>465.5</v>
      </c>
      <c r="AE878">
        <v>8528.6999999999989</v>
      </c>
      <c r="AF878">
        <v>8529</v>
      </c>
      <c r="AG878">
        <v>23940</v>
      </c>
      <c r="AH878">
        <v>15860.300000000003</v>
      </c>
      <c r="AI878" s="5">
        <v>0.27894579478701298</v>
      </c>
    </row>
    <row r="879" spans="14:35" x14ac:dyDescent="0.25">
      <c r="N879" t="s">
        <v>901</v>
      </c>
      <c r="O879" s="1">
        <v>46167</v>
      </c>
      <c r="P879" t="s">
        <v>737</v>
      </c>
      <c r="Q879" t="s">
        <v>155</v>
      </c>
      <c r="R879" t="s">
        <v>24</v>
      </c>
      <c r="S879">
        <v>113</v>
      </c>
      <c r="T879" t="s">
        <v>738</v>
      </c>
      <c r="U879">
        <v>450</v>
      </c>
      <c r="V879">
        <v>180</v>
      </c>
      <c r="W879">
        <v>3.5</v>
      </c>
      <c r="X879" t="s">
        <v>156</v>
      </c>
      <c r="Y879">
        <v>12.5</v>
      </c>
      <c r="Z879">
        <v>0.15</v>
      </c>
      <c r="AA879">
        <v>0.02</v>
      </c>
      <c r="AB879">
        <v>50850</v>
      </c>
      <c r="AC879">
        <v>49833</v>
      </c>
      <c r="AD879">
        <v>395.5</v>
      </c>
      <c r="AE879">
        <v>7474.95</v>
      </c>
      <c r="AF879">
        <v>7475</v>
      </c>
      <c r="AG879">
        <v>20340</v>
      </c>
      <c r="AH879">
        <v>14543.050000000003</v>
      </c>
      <c r="AI879" s="5">
        <v>0.29183573134268498</v>
      </c>
    </row>
    <row r="880" spans="14:35" x14ac:dyDescent="0.25">
      <c r="N880" t="s">
        <v>902</v>
      </c>
      <c r="O880" s="1">
        <v>46167.083333333336</v>
      </c>
      <c r="P880" t="s">
        <v>737</v>
      </c>
      <c r="Q880" t="s">
        <v>155</v>
      </c>
      <c r="R880" t="s">
        <v>32</v>
      </c>
      <c r="S880">
        <v>47</v>
      </c>
      <c r="T880" t="s">
        <v>738</v>
      </c>
      <c r="U880">
        <v>450</v>
      </c>
      <c r="V880">
        <v>180</v>
      </c>
      <c r="W880">
        <v>3.5</v>
      </c>
      <c r="X880" t="s">
        <v>156</v>
      </c>
      <c r="Y880">
        <v>12.5</v>
      </c>
      <c r="Z880">
        <v>0.15</v>
      </c>
      <c r="AA880">
        <v>0.05</v>
      </c>
      <c r="AB880">
        <v>21150</v>
      </c>
      <c r="AC880">
        <v>20092</v>
      </c>
      <c r="AD880">
        <v>164.5</v>
      </c>
      <c r="AE880">
        <v>3013.7999999999997</v>
      </c>
      <c r="AF880">
        <v>3014</v>
      </c>
      <c r="AG880">
        <v>8460</v>
      </c>
      <c r="AH880">
        <v>5604.2000000000007</v>
      </c>
      <c r="AI880" s="5">
        <v>0.27892693609396801</v>
      </c>
    </row>
    <row r="881" spans="14:35" x14ac:dyDescent="0.25">
      <c r="N881" t="s">
        <v>903</v>
      </c>
      <c r="O881" s="1">
        <v>46168.333333333336</v>
      </c>
      <c r="P881" t="s">
        <v>737</v>
      </c>
      <c r="Q881" t="s">
        <v>155</v>
      </c>
      <c r="R881" t="s">
        <v>29</v>
      </c>
      <c r="S881">
        <v>116</v>
      </c>
      <c r="T881" t="s">
        <v>738</v>
      </c>
      <c r="U881">
        <v>450</v>
      </c>
      <c r="V881">
        <v>180</v>
      </c>
      <c r="W881">
        <v>3.5</v>
      </c>
      <c r="X881" t="s">
        <v>156</v>
      </c>
      <c r="Y881">
        <v>12.5</v>
      </c>
      <c r="Z881">
        <v>0.15</v>
      </c>
      <c r="AA881">
        <v>0.1</v>
      </c>
      <c r="AB881">
        <v>52200</v>
      </c>
      <c r="AC881">
        <v>46980</v>
      </c>
      <c r="AD881">
        <v>406</v>
      </c>
      <c r="AE881">
        <v>7047</v>
      </c>
      <c r="AF881">
        <v>7047</v>
      </c>
      <c r="AG881">
        <v>20880</v>
      </c>
      <c r="AH881">
        <v>12006</v>
      </c>
      <c r="AI881" s="5">
        <v>0.25555555555555598</v>
      </c>
    </row>
    <row r="882" spans="14:35" x14ac:dyDescent="0.25">
      <c r="N882" t="s">
        <v>904</v>
      </c>
      <c r="O882" s="1">
        <v>46169.458333333336</v>
      </c>
      <c r="P882" t="s">
        <v>737</v>
      </c>
      <c r="Q882" t="s">
        <v>155</v>
      </c>
      <c r="R882" t="s">
        <v>24</v>
      </c>
      <c r="S882">
        <v>118</v>
      </c>
      <c r="T882" t="s">
        <v>738</v>
      </c>
      <c r="U882">
        <v>450</v>
      </c>
      <c r="V882">
        <v>180</v>
      </c>
      <c r="W882">
        <v>3.5</v>
      </c>
      <c r="X882" t="s">
        <v>156</v>
      </c>
      <c r="Y882">
        <v>12.5</v>
      </c>
      <c r="Z882">
        <v>0.15</v>
      </c>
      <c r="AA882">
        <v>0.02</v>
      </c>
      <c r="AB882">
        <v>53100</v>
      </c>
      <c r="AC882">
        <v>52038</v>
      </c>
      <c r="AD882">
        <v>413</v>
      </c>
      <c r="AE882">
        <v>7805.7</v>
      </c>
      <c r="AF882">
        <v>7806</v>
      </c>
      <c r="AG882">
        <v>21240</v>
      </c>
      <c r="AH882">
        <v>15186.300000000003</v>
      </c>
      <c r="AI882" s="5">
        <v>0.29183096967600602</v>
      </c>
    </row>
    <row r="883" spans="14:35" x14ac:dyDescent="0.25">
      <c r="N883" t="s">
        <v>905</v>
      </c>
      <c r="O883" s="1">
        <v>46170.625</v>
      </c>
      <c r="P883" t="s">
        <v>737</v>
      </c>
      <c r="Q883" t="s">
        <v>155</v>
      </c>
      <c r="R883" t="s">
        <v>29</v>
      </c>
      <c r="S883">
        <v>140</v>
      </c>
      <c r="T883" t="s">
        <v>738</v>
      </c>
      <c r="U883">
        <v>450</v>
      </c>
      <c r="V883">
        <v>180</v>
      </c>
      <c r="W883">
        <v>3.5</v>
      </c>
      <c r="X883" t="s">
        <v>156</v>
      </c>
      <c r="Y883">
        <v>12.5</v>
      </c>
      <c r="Z883">
        <v>0.15</v>
      </c>
      <c r="AA883">
        <v>0.1</v>
      </c>
      <c r="AB883">
        <v>63000</v>
      </c>
      <c r="AC883">
        <v>56700</v>
      </c>
      <c r="AD883">
        <v>490</v>
      </c>
      <c r="AE883">
        <v>8505</v>
      </c>
      <c r="AF883">
        <v>8505</v>
      </c>
      <c r="AG883">
        <v>25200</v>
      </c>
      <c r="AH883">
        <v>14490</v>
      </c>
      <c r="AI883" s="5">
        <v>0.25555555555555598</v>
      </c>
    </row>
    <row r="884" spans="14:35" x14ac:dyDescent="0.25">
      <c r="N884" t="s">
        <v>906</v>
      </c>
      <c r="O884" s="1">
        <v>46171</v>
      </c>
      <c r="P884" t="s">
        <v>737</v>
      </c>
      <c r="Q884" t="s">
        <v>155</v>
      </c>
      <c r="R884" t="s">
        <v>24</v>
      </c>
      <c r="S884">
        <v>19</v>
      </c>
      <c r="T884" t="s">
        <v>738</v>
      </c>
      <c r="U884">
        <v>450</v>
      </c>
      <c r="V884">
        <v>180</v>
      </c>
      <c r="W884">
        <v>3.5</v>
      </c>
      <c r="X884" t="s">
        <v>156</v>
      </c>
      <c r="Y884">
        <v>12.5</v>
      </c>
      <c r="Z884">
        <v>0.15</v>
      </c>
      <c r="AA884">
        <v>0.02</v>
      </c>
      <c r="AB884">
        <v>8550</v>
      </c>
      <c r="AC884">
        <v>8379</v>
      </c>
      <c r="AD884">
        <v>66.5</v>
      </c>
      <c r="AE884">
        <v>1256.8499999999999</v>
      </c>
      <c r="AF884">
        <v>1257</v>
      </c>
      <c r="AG884">
        <v>3420</v>
      </c>
      <c r="AH884">
        <v>2445.1499999999996</v>
      </c>
      <c r="AI884" s="5">
        <v>0.29181883279627602</v>
      </c>
    </row>
    <row r="885" spans="14:35" x14ac:dyDescent="0.25">
      <c r="N885" t="s">
        <v>907</v>
      </c>
      <c r="O885" s="1">
        <v>46171.041666666664</v>
      </c>
      <c r="P885" t="s">
        <v>737</v>
      </c>
      <c r="Q885" t="s">
        <v>155</v>
      </c>
      <c r="R885" t="s">
        <v>32</v>
      </c>
      <c r="S885">
        <v>23</v>
      </c>
      <c r="T885" t="s">
        <v>738</v>
      </c>
      <c r="U885">
        <v>450</v>
      </c>
      <c r="V885">
        <v>180</v>
      </c>
      <c r="W885">
        <v>3.5</v>
      </c>
      <c r="X885" t="s">
        <v>156</v>
      </c>
      <c r="Y885">
        <v>12.5</v>
      </c>
      <c r="Z885">
        <v>0.15</v>
      </c>
      <c r="AA885">
        <v>0.05</v>
      </c>
      <c r="AB885">
        <v>10350</v>
      </c>
      <c r="AC885">
        <v>9832</v>
      </c>
      <c r="AD885">
        <v>80.5</v>
      </c>
      <c r="AE885">
        <v>1474.8</v>
      </c>
      <c r="AF885">
        <v>1475</v>
      </c>
      <c r="AG885">
        <v>4140</v>
      </c>
      <c r="AH885">
        <v>2742.2</v>
      </c>
      <c r="AI885" s="5">
        <v>0.27890561432058603</v>
      </c>
    </row>
    <row r="886" spans="14:35" x14ac:dyDescent="0.25">
      <c r="N886" t="s">
        <v>908</v>
      </c>
      <c r="O886" s="1">
        <v>46171.416666666664</v>
      </c>
      <c r="P886" t="s">
        <v>737</v>
      </c>
      <c r="Q886" t="s">
        <v>155</v>
      </c>
      <c r="R886" t="s">
        <v>32</v>
      </c>
      <c r="S886">
        <v>191</v>
      </c>
      <c r="T886" t="s">
        <v>738</v>
      </c>
      <c r="U886">
        <v>450</v>
      </c>
      <c r="V886">
        <v>180</v>
      </c>
      <c r="W886">
        <v>3.5</v>
      </c>
      <c r="X886" t="s">
        <v>156</v>
      </c>
      <c r="Y886">
        <v>12.5</v>
      </c>
      <c r="Z886">
        <v>0.15</v>
      </c>
      <c r="AA886">
        <v>0.05</v>
      </c>
      <c r="AB886">
        <v>85950</v>
      </c>
      <c r="AC886">
        <v>81652</v>
      </c>
      <c r="AD886">
        <v>668.5</v>
      </c>
      <c r="AE886">
        <v>12247.8</v>
      </c>
      <c r="AF886">
        <v>12248</v>
      </c>
      <c r="AG886">
        <v>34380</v>
      </c>
      <c r="AH886">
        <v>22776.199999999997</v>
      </c>
      <c r="AI886" s="5">
        <v>0.27894234066526202</v>
      </c>
    </row>
    <row r="887" spans="14:35" x14ac:dyDescent="0.25">
      <c r="N887" t="s">
        <v>909</v>
      </c>
      <c r="O887" s="1">
        <v>46171.75</v>
      </c>
      <c r="P887" t="s">
        <v>737</v>
      </c>
      <c r="Q887" t="s">
        <v>155</v>
      </c>
      <c r="R887" t="s">
        <v>32</v>
      </c>
      <c r="S887">
        <v>44</v>
      </c>
      <c r="T887" t="s">
        <v>738</v>
      </c>
      <c r="U887">
        <v>450</v>
      </c>
      <c r="V887">
        <v>180</v>
      </c>
      <c r="W887">
        <v>3.5</v>
      </c>
      <c r="X887" t="s">
        <v>156</v>
      </c>
      <c r="Y887">
        <v>12.5</v>
      </c>
      <c r="Z887">
        <v>0.15</v>
      </c>
      <c r="AA887">
        <v>0.05</v>
      </c>
      <c r="AB887">
        <v>19800</v>
      </c>
      <c r="AC887">
        <v>18810</v>
      </c>
      <c r="AD887">
        <v>154</v>
      </c>
      <c r="AE887">
        <v>2821.5</v>
      </c>
      <c r="AF887">
        <v>2822</v>
      </c>
      <c r="AG887">
        <v>7920</v>
      </c>
      <c r="AH887">
        <v>5246.5</v>
      </c>
      <c r="AI887" s="5">
        <v>0.27892078681552401</v>
      </c>
    </row>
    <row r="888" spans="14:35" x14ac:dyDescent="0.25">
      <c r="N888" t="s">
        <v>910</v>
      </c>
      <c r="O888" s="1">
        <v>46172</v>
      </c>
      <c r="P888" t="s">
        <v>737</v>
      </c>
      <c r="Q888" t="s">
        <v>155</v>
      </c>
      <c r="R888" t="s">
        <v>29</v>
      </c>
      <c r="S888">
        <v>126</v>
      </c>
      <c r="T888" t="s">
        <v>738</v>
      </c>
      <c r="U888">
        <v>450</v>
      </c>
      <c r="V888">
        <v>180</v>
      </c>
      <c r="W888">
        <v>3.5</v>
      </c>
      <c r="X888" t="s">
        <v>156</v>
      </c>
      <c r="Y888">
        <v>12.5</v>
      </c>
      <c r="Z888">
        <v>0.15</v>
      </c>
      <c r="AA888">
        <v>0.1</v>
      </c>
      <c r="AB888">
        <v>56700</v>
      </c>
      <c r="AC888">
        <v>51030</v>
      </c>
      <c r="AD888">
        <v>441</v>
      </c>
      <c r="AE888">
        <v>7654.5</v>
      </c>
      <c r="AF888">
        <v>7654</v>
      </c>
      <c r="AG888">
        <v>22680</v>
      </c>
      <c r="AH888">
        <v>13041.5</v>
      </c>
      <c r="AI888" s="5">
        <v>0.25556535371350197</v>
      </c>
    </row>
    <row r="889" spans="14:35" x14ac:dyDescent="0.25">
      <c r="N889" t="s">
        <v>911</v>
      </c>
      <c r="O889" s="1">
        <v>46172.083333333336</v>
      </c>
      <c r="P889" t="s">
        <v>737</v>
      </c>
      <c r="Q889" t="s">
        <v>155</v>
      </c>
      <c r="R889" t="s">
        <v>24</v>
      </c>
      <c r="S889">
        <v>107</v>
      </c>
      <c r="T889" t="s">
        <v>738</v>
      </c>
      <c r="U889">
        <v>450</v>
      </c>
      <c r="V889">
        <v>180</v>
      </c>
      <c r="W889">
        <v>3.5</v>
      </c>
      <c r="X889" t="s">
        <v>156</v>
      </c>
      <c r="Y889">
        <v>12.5</v>
      </c>
      <c r="Z889">
        <v>0.15</v>
      </c>
      <c r="AA889">
        <v>0.02</v>
      </c>
      <c r="AB889">
        <v>48150</v>
      </c>
      <c r="AC889">
        <v>47187</v>
      </c>
      <c r="AD889">
        <v>374.5</v>
      </c>
      <c r="AE889">
        <v>7078.05</v>
      </c>
      <c r="AF889">
        <v>7078</v>
      </c>
      <c r="AG889">
        <v>19260</v>
      </c>
      <c r="AH889">
        <v>13770.949999999997</v>
      </c>
      <c r="AI889" s="5">
        <v>0.29183779430775397</v>
      </c>
    </row>
    <row r="890" spans="14:35" x14ac:dyDescent="0.25">
      <c r="N890" t="s">
        <v>912</v>
      </c>
      <c r="O890" s="1">
        <v>46172.208333333336</v>
      </c>
      <c r="P890" t="s">
        <v>737</v>
      </c>
      <c r="Q890" t="s">
        <v>155</v>
      </c>
      <c r="R890" t="s">
        <v>29</v>
      </c>
      <c r="S890">
        <v>139</v>
      </c>
      <c r="T890" t="s">
        <v>738</v>
      </c>
      <c r="U890">
        <v>450</v>
      </c>
      <c r="V890">
        <v>180</v>
      </c>
      <c r="W890">
        <v>3.5</v>
      </c>
      <c r="X890" t="s">
        <v>156</v>
      </c>
      <c r="Y890">
        <v>12.5</v>
      </c>
      <c r="Z890">
        <v>0.15</v>
      </c>
      <c r="AA890">
        <v>0.1</v>
      </c>
      <c r="AB890">
        <v>62550</v>
      </c>
      <c r="AC890">
        <v>56295</v>
      </c>
      <c r="AD890">
        <v>486.5</v>
      </c>
      <c r="AE890">
        <v>8444.25</v>
      </c>
      <c r="AF890">
        <v>8444</v>
      </c>
      <c r="AG890">
        <v>25020</v>
      </c>
      <c r="AH890">
        <v>14386.75</v>
      </c>
      <c r="AI890" s="5">
        <v>0.255559996447287</v>
      </c>
    </row>
    <row r="891" spans="14:35" x14ac:dyDescent="0.25">
      <c r="N891" t="s">
        <v>913</v>
      </c>
      <c r="O891" s="1">
        <v>46172.833333333336</v>
      </c>
      <c r="P891" t="s">
        <v>737</v>
      </c>
      <c r="Q891" t="s">
        <v>155</v>
      </c>
      <c r="R891" t="s">
        <v>29</v>
      </c>
      <c r="S891">
        <v>90</v>
      </c>
      <c r="T891" t="s">
        <v>738</v>
      </c>
      <c r="U891">
        <v>450</v>
      </c>
      <c r="V891">
        <v>180</v>
      </c>
      <c r="W891">
        <v>3.5</v>
      </c>
      <c r="X891" t="s">
        <v>156</v>
      </c>
      <c r="Y891">
        <v>12.5</v>
      </c>
      <c r="Z891">
        <v>0.15</v>
      </c>
      <c r="AA891">
        <v>0.1</v>
      </c>
      <c r="AB891">
        <v>40500</v>
      </c>
      <c r="AC891">
        <v>36450</v>
      </c>
      <c r="AD891">
        <v>315</v>
      </c>
      <c r="AE891">
        <v>5467.5</v>
      </c>
      <c r="AF891">
        <v>5468</v>
      </c>
      <c r="AG891">
        <v>16200</v>
      </c>
      <c r="AH891">
        <v>9314.5</v>
      </c>
      <c r="AI891" s="5">
        <v>0.25554183813443099</v>
      </c>
    </row>
    <row r="892" spans="14:35" x14ac:dyDescent="0.25">
      <c r="N892" t="s">
        <v>914</v>
      </c>
      <c r="O892" s="1">
        <v>46172.958333333336</v>
      </c>
      <c r="P892" t="s">
        <v>737</v>
      </c>
      <c r="Q892" t="s">
        <v>155</v>
      </c>
      <c r="R892" t="s">
        <v>29</v>
      </c>
      <c r="S892">
        <v>111</v>
      </c>
      <c r="T892" t="s">
        <v>738</v>
      </c>
      <c r="U892">
        <v>450</v>
      </c>
      <c r="V892">
        <v>180</v>
      </c>
      <c r="W892">
        <v>3.5</v>
      </c>
      <c r="X892" t="s">
        <v>156</v>
      </c>
      <c r="Y892">
        <v>12.5</v>
      </c>
      <c r="Z892">
        <v>0.15</v>
      </c>
      <c r="AA892">
        <v>0.1</v>
      </c>
      <c r="AB892">
        <v>49950</v>
      </c>
      <c r="AC892">
        <v>44955</v>
      </c>
      <c r="AD892">
        <v>388.5</v>
      </c>
      <c r="AE892">
        <v>6743.25</v>
      </c>
      <c r="AF892">
        <v>6743</v>
      </c>
      <c r="AG892">
        <v>19980</v>
      </c>
      <c r="AH892">
        <v>11488.75</v>
      </c>
      <c r="AI892" s="5">
        <v>0.25556111667222797</v>
      </c>
    </row>
    <row r="893" spans="14:35" x14ac:dyDescent="0.25">
      <c r="N893" t="s">
        <v>915</v>
      </c>
      <c r="O893" s="1">
        <v>46173.291666666664</v>
      </c>
      <c r="P893" t="s">
        <v>737</v>
      </c>
      <c r="Q893" t="s">
        <v>155</v>
      </c>
      <c r="R893" t="s">
        <v>24</v>
      </c>
      <c r="S893">
        <v>14</v>
      </c>
      <c r="T893" t="s">
        <v>738</v>
      </c>
      <c r="U893">
        <v>450</v>
      </c>
      <c r="V893">
        <v>180</v>
      </c>
      <c r="W893">
        <v>3.5</v>
      </c>
      <c r="X893" t="s">
        <v>156</v>
      </c>
      <c r="Y893">
        <v>12.5</v>
      </c>
      <c r="Z893">
        <v>0.15</v>
      </c>
      <c r="AA893">
        <v>0.02</v>
      </c>
      <c r="AB893">
        <v>6300</v>
      </c>
      <c r="AC893">
        <v>6174</v>
      </c>
      <c r="AD893">
        <v>49</v>
      </c>
      <c r="AE893">
        <v>926.09999999999991</v>
      </c>
      <c r="AF893">
        <v>926</v>
      </c>
      <c r="AG893">
        <v>2520</v>
      </c>
      <c r="AH893">
        <v>1801.8999999999996</v>
      </c>
      <c r="AI893" s="5">
        <v>0.29185293164885001</v>
      </c>
    </row>
    <row r="894" spans="14:35" x14ac:dyDescent="0.25">
      <c r="N894" t="s">
        <v>916</v>
      </c>
      <c r="O894" s="1">
        <v>46173.583333333336</v>
      </c>
      <c r="P894" t="s">
        <v>737</v>
      </c>
      <c r="Q894" t="s">
        <v>155</v>
      </c>
      <c r="R894" t="s">
        <v>24</v>
      </c>
      <c r="S894">
        <v>167</v>
      </c>
      <c r="T894" t="s">
        <v>738</v>
      </c>
      <c r="U894">
        <v>450</v>
      </c>
      <c r="V894">
        <v>180</v>
      </c>
      <c r="W894">
        <v>3.5</v>
      </c>
      <c r="X894" t="s">
        <v>156</v>
      </c>
      <c r="Y894">
        <v>12.5</v>
      </c>
      <c r="Z894">
        <v>0.15</v>
      </c>
      <c r="AA894">
        <v>0.02</v>
      </c>
      <c r="AB894">
        <v>75150</v>
      </c>
      <c r="AC894">
        <v>73647</v>
      </c>
      <c r="AD894">
        <v>584.5</v>
      </c>
      <c r="AE894">
        <v>11047.05</v>
      </c>
      <c r="AF894">
        <v>11047</v>
      </c>
      <c r="AG894">
        <v>30060</v>
      </c>
      <c r="AH894">
        <v>21492.949999999997</v>
      </c>
      <c r="AI894" s="5">
        <v>0.29183741360815801</v>
      </c>
    </row>
    <row r="895" spans="14:35" x14ac:dyDescent="0.25">
      <c r="N895" t="s">
        <v>917</v>
      </c>
      <c r="O895" s="1">
        <v>46173.875</v>
      </c>
      <c r="P895" t="s">
        <v>737</v>
      </c>
      <c r="Q895" t="s">
        <v>155</v>
      </c>
      <c r="R895" t="s">
        <v>24</v>
      </c>
      <c r="S895">
        <v>172</v>
      </c>
      <c r="T895" t="s">
        <v>738</v>
      </c>
      <c r="U895">
        <v>450</v>
      </c>
      <c r="V895">
        <v>180</v>
      </c>
      <c r="W895">
        <v>3.5</v>
      </c>
      <c r="X895" t="s">
        <v>156</v>
      </c>
      <c r="Y895">
        <v>12.5</v>
      </c>
      <c r="Z895">
        <v>0.15</v>
      </c>
      <c r="AA895">
        <v>0.02</v>
      </c>
      <c r="AB895">
        <v>77400</v>
      </c>
      <c r="AC895">
        <v>75852</v>
      </c>
      <c r="AD895">
        <v>602</v>
      </c>
      <c r="AE895">
        <v>11377.8</v>
      </c>
      <c r="AF895">
        <v>11378</v>
      </c>
      <c r="AG895">
        <v>30960</v>
      </c>
      <c r="AH895">
        <v>22136.199999999997</v>
      </c>
      <c r="AI895" s="5">
        <v>0.29183409798027699</v>
      </c>
    </row>
    <row r="896" spans="14:35" x14ac:dyDescent="0.25">
      <c r="N896" t="s">
        <v>918</v>
      </c>
      <c r="O896" s="1">
        <v>46174</v>
      </c>
      <c r="P896" t="s">
        <v>737</v>
      </c>
      <c r="Q896" t="s">
        <v>155</v>
      </c>
      <c r="R896" t="s">
        <v>24</v>
      </c>
      <c r="S896">
        <v>11</v>
      </c>
      <c r="T896" t="s">
        <v>738</v>
      </c>
      <c r="U896">
        <v>450</v>
      </c>
      <c r="V896">
        <v>180</v>
      </c>
      <c r="W896">
        <v>3.5</v>
      </c>
      <c r="X896" t="s">
        <v>156</v>
      </c>
      <c r="Y896">
        <v>12.5</v>
      </c>
      <c r="Z896">
        <v>0.15</v>
      </c>
      <c r="AA896">
        <v>0.02</v>
      </c>
      <c r="AB896">
        <v>4950</v>
      </c>
      <c r="AC896">
        <v>4851</v>
      </c>
      <c r="AD896">
        <v>38.5</v>
      </c>
      <c r="AE896">
        <v>727.65</v>
      </c>
      <c r="AF896">
        <v>728</v>
      </c>
      <c r="AG896">
        <v>1980</v>
      </c>
      <c r="AH896">
        <v>1415.35</v>
      </c>
      <c r="AI896" s="5">
        <v>0.291764584621727</v>
      </c>
    </row>
    <row r="897" spans="14:35" x14ac:dyDescent="0.25">
      <c r="N897" t="s">
        <v>919</v>
      </c>
      <c r="O897" s="1">
        <v>46174.375</v>
      </c>
      <c r="P897" t="s">
        <v>737</v>
      </c>
      <c r="Q897" t="s">
        <v>155</v>
      </c>
      <c r="R897" t="s">
        <v>32</v>
      </c>
      <c r="S897">
        <v>179</v>
      </c>
      <c r="T897" t="s">
        <v>738</v>
      </c>
      <c r="U897">
        <v>450</v>
      </c>
      <c r="V897">
        <v>180</v>
      </c>
      <c r="W897">
        <v>3.5</v>
      </c>
      <c r="X897" t="s">
        <v>156</v>
      </c>
      <c r="Y897">
        <v>12.5</v>
      </c>
      <c r="Z897">
        <v>0.15</v>
      </c>
      <c r="AA897">
        <v>0.05</v>
      </c>
      <c r="AB897">
        <v>80550</v>
      </c>
      <c r="AC897">
        <v>76522</v>
      </c>
      <c r="AD897">
        <v>626.5</v>
      </c>
      <c r="AE897">
        <v>11478.3</v>
      </c>
      <c r="AF897">
        <v>11478</v>
      </c>
      <c r="AG897">
        <v>32220</v>
      </c>
      <c r="AH897">
        <v>21345.699999999997</v>
      </c>
      <c r="AI897" s="5">
        <v>0.27894853767543998</v>
      </c>
    </row>
    <row r="898" spans="14:35" x14ac:dyDescent="0.25">
      <c r="N898" t="s">
        <v>920</v>
      </c>
      <c r="O898" s="1">
        <v>46174.583333333336</v>
      </c>
      <c r="P898" t="s">
        <v>737</v>
      </c>
      <c r="Q898" t="s">
        <v>155</v>
      </c>
      <c r="R898" t="s">
        <v>32</v>
      </c>
      <c r="S898">
        <v>177</v>
      </c>
      <c r="T898" t="s">
        <v>738</v>
      </c>
      <c r="U898">
        <v>450</v>
      </c>
      <c r="V898">
        <v>180</v>
      </c>
      <c r="W898">
        <v>3.5</v>
      </c>
      <c r="X898" t="s">
        <v>156</v>
      </c>
      <c r="Y898">
        <v>12.5</v>
      </c>
      <c r="Z898">
        <v>0.15</v>
      </c>
      <c r="AA898">
        <v>0.05</v>
      </c>
      <c r="AB898">
        <v>79650</v>
      </c>
      <c r="AC898">
        <v>75668</v>
      </c>
      <c r="AD898">
        <v>619.5</v>
      </c>
      <c r="AE898">
        <v>11350.199999999999</v>
      </c>
      <c r="AF898">
        <v>11350</v>
      </c>
      <c r="AG898">
        <v>31860</v>
      </c>
      <c r="AH898">
        <v>21107.800000000003</v>
      </c>
      <c r="AI898" s="5">
        <v>0.27895279378337001</v>
      </c>
    </row>
    <row r="899" spans="14:35" x14ac:dyDescent="0.25">
      <c r="N899" t="s">
        <v>921</v>
      </c>
      <c r="O899" s="1">
        <v>46174.625</v>
      </c>
      <c r="P899" t="s">
        <v>737</v>
      </c>
      <c r="Q899" t="s">
        <v>155</v>
      </c>
      <c r="R899" t="s">
        <v>29</v>
      </c>
      <c r="S899">
        <v>58</v>
      </c>
      <c r="T899" t="s">
        <v>738</v>
      </c>
      <c r="U899">
        <v>450</v>
      </c>
      <c r="V899">
        <v>180</v>
      </c>
      <c r="W899">
        <v>3.5</v>
      </c>
      <c r="X899" t="s">
        <v>156</v>
      </c>
      <c r="Y899">
        <v>12.5</v>
      </c>
      <c r="Z899">
        <v>0.15</v>
      </c>
      <c r="AA899">
        <v>0.1</v>
      </c>
      <c r="AB899">
        <v>26100</v>
      </c>
      <c r="AC899">
        <v>23490</v>
      </c>
      <c r="AD899">
        <v>203</v>
      </c>
      <c r="AE899">
        <v>3523.5</v>
      </c>
      <c r="AF899">
        <v>3524</v>
      </c>
      <c r="AG899">
        <v>10440</v>
      </c>
      <c r="AH899">
        <v>6002.5</v>
      </c>
      <c r="AI899" s="5">
        <v>0.255534269902086</v>
      </c>
    </row>
    <row r="900" spans="14:35" x14ac:dyDescent="0.25">
      <c r="N900" t="s">
        <v>922</v>
      </c>
      <c r="O900" s="1">
        <v>46174.708333333336</v>
      </c>
      <c r="P900" t="s">
        <v>737</v>
      </c>
      <c r="Q900" t="s">
        <v>155</v>
      </c>
      <c r="R900" t="s">
        <v>29</v>
      </c>
      <c r="S900">
        <v>139</v>
      </c>
      <c r="T900" t="s">
        <v>738</v>
      </c>
      <c r="U900">
        <v>450</v>
      </c>
      <c r="V900">
        <v>180</v>
      </c>
      <c r="W900">
        <v>3.5</v>
      </c>
      <c r="X900" t="s">
        <v>156</v>
      </c>
      <c r="Y900">
        <v>12.5</v>
      </c>
      <c r="Z900">
        <v>0.15</v>
      </c>
      <c r="AA900">
        <v>0.1</v>
      </c>
      <c r="AB900">
        <v>62550</v>
      </c>
      <c r="AC900">
        <v>56295</v>
      </c>
      <c r="AD900">
        <v>486.5</v>
      </c>
      <c r="AE900">
        <v>8444.25</v>
      </c>
      <c r="AF900">
        <v>8444</v>
      </c>
      <c r="AG900">
        <v>25020</v>
      </c>
      <c r="AH900">
        <v>14386.75</v>
      </c>
      <c r="AI900" s="5">
        <v>0.255559996447287</v>
      </c>
    </row>
    <row r="901" spans="14:35" x14ac:dyDescent="0.25">
      <c r="N901" t="s">
        <v>923</v>
      </c>
      <c r="O901" s="1">
        <v>46176.083333333336</v>
      </c>
      <c r="P901" t="s">
        <v>737</v>
      </c>
      <c r="Q901" t="s">
        <v>155</v>
      </c>
      <c r="R901" t="s">
        <v>29</v>
      </c>
      <c r="S901">
        <v>139</v>
      </c>
      <c r="T901" t="s">
        <v>738</v>
      </c>
      <c r="U901">
        <v>450</v>
      </c>
      <c r="V901">
        <v>180</v>
      </c>
      <c r="W901">
        <v>3.5</v>
      </c>
      <c r="X901" t="s">
        <v>156</v>
      </c>
      <c r="Y901">
        <v>12.5</v>
      </c>
      <c r="Z901">
        <v>0.15</v>
      </c>
      <c r="AA901">
        <v>0.1</v>
      </c>
      <c r="AB901">
        <v>62550</v>
      </c>
      <c r="AC901">
        <v>56295</v>
      </c>
      <c r="AD901">
        <v>486.5</v>
      </c>
      <c r="AE901">
        <v>8444.25</v>
      </c>
      <c r="AF901">
        <v>8444</v>
      </c>
      <c r="AG901">
        <v>25020</v>
      </c>
      <c r="AH901">
        <v>14386.75</v>
      </c>
      <c r="AI901" s="5">
        <v>0.255559996447287</v>
      </c>
    </row>
    <row r="902" spans="14:35" x14ac:dyDescent="0.25">
      <c r="N902" t="s">
        <v>924</v>
      </c>
      <c r="O902" s="1">
        <v>46176.375</v>
      </c>
      <c r="P902" t="s">
        <v>737</v>
      </c>
      <c r="Q902" t="s">
        <v>155</v>
      </c>
      <c r="R902" t="s">
        <v>29</v>
      </c>
      <c r="S902">
        <v>142</v>
      </c>
      <c r="T902" t="s">
        <v>738</v>
      </c>
      <c r="U902">
        <v>450</v>
      </c>
      <c r="V902">
        <v>180</v>
      </c>
      <c r="W902">
        <v>3.5</v>
      </c>
      <c r="X902" t="s">
        <v>156</v>
      </c>
      <c r="Y902">
        <v>12.5</v>
      </c>
      <c r="Z902">
        <v>0.15</v>
      </c>
      <c r="AA902">
        <v>0.1</v>
      </c>
      <c r="AB902">
        <v>63900</v>
      </c>
      <c r="AC902">
        <v>57510</v>
      </c>
      <c r="AD902">
        <v>497</v>
      </c>
      <c r="AE902">
        <v>8626.5</v>
      </c>
      <c r="AF902">
        <v>8626</v>
      </c>
      <c r="AG902">
        <v>25560</v>
      </c>
      <c r="AH902">
        <v>14697.5</v>
      </c>
      <c r="AI902" s="5">
        <v>0.25556424969570501</v>
      </c>
    </row>
    <row r="903" spans="14:35" x14ac:dyDescent="0.25">
      <c r="N903" t="s">
        <v>925</v>
      </c>
      <c r="O903" s="1">
        <v>46176.5</v>
      </c>
      <c r="P903" t="s">
        <v>737</v>
      </c>
      <c r="Q903" t="s">
        <v>155</v>
      </c>
      <c r="R903" t="s">
        <v>24</v>
      </c>
      <c r="S903">
        <v>35</v>
      </c>
      <c r="T903" t="s">
        <v>738</v>
      </c>
      <c r="U903">
        <v>450</v>
      </c>
      <c r="V903">
        <v>180</v>
      </c>
      <c r="W903">
        <v>3.5</v>
      </c>
      <c r="X903" t="s">
        <v>156</v>
      </c>
      <c r="Y903">
        <v>12.5</v>
      </c>
      <c r="Z903">
        <v>0.15</v>
      </c>
      <c r="AA903">
        <v>0.02</v>
      </c>
      <c r="AB903">
        <v>15750</v>
      </c>
      <c r="AC903">
        <v>15435</v>
      </c>
      <c r="AD903">
        <v>122.5</v>
      </c>
      <c r="AE903">
        <v>2315.25</v>
      </c>
      <c r="AF903">
        <v>2315</v>
      </c>
      <c r="AG903">
        <v>6300</v>
      </c>
      <c r="AH903">
        <v>4504.75</v>
      </c>
      <c r="AI903" s="5">
        <v>0.29185293164885001</v>
      </c>
    </row>
    <row r="904" spans="14:35" x14ac:dyDescent="0.25">
      <c r="N904" t="s">
        <v>926</v>
      </c>
      <c r="O904" s="1">
        <v>46176.541666666664</v>
      </c>
      <c r="P904" t="s">
        <v>737</v>
      </c>
      <c r="Q904" t="s">
        <v>155</v>
      </c>
      <c r="R904" t="s">
        <v>29</v>
      </c>
      <c r="S904">
        <v>122</v>
      </c>
      <c r="T904" t="s">
        <v>738</v>
      </c>
      <c r="U904">
        <v>450</v>
      </c>
      <c r="V904">
        <v>180</v>
      </c>
      <c r="W904">
        <v>3.5</v>
      </c>
      <c r="X904" t="s">
        <v>156</v>
      </c>
      <c r="Y904">
        <v>12.5</v>
      </c>
      <c r="Z904">
        <v>0.15</v>
      </c>
      <c r="AA904">
        <v>0.1</v>
      </c>
      <c r="AB904">
        <v>54900</v>
      </c>
      <c r="AC904">
        <v>49410</v>
      </c>
      <c r="AD904">
        <v>427</v>
      </c>
      <c r="AE904">
        <v>7411.5</v>
      </c>
      <c r="AF904">
        <v>7412</v>
      </c>
      <c r="AG904">
        <v>21960</v>
      </c>
      <c r="AH904">
        <v>12626.5</v>
      </c>
      <c r="AI904" s="5">
        <v>0.25554543614652903</v>
      </c>
    </row>
    <row r="905" spans="14:35" x14ac:dyDescent="0.25">
      <c r="N905" t="s">
        <v>927</v>
      </c>
      <c r="O905" s="1">
        <v>46176.708333333336</v>
      </c>
      <c r="P905" t="s">
        <v>737</v>
      </c>
      <c r="Q905" t="s">
        <v>155</v>
      </c>
      <c r="R905" t="s">
        <v>32</v>
      </c>
      <c r="S905">
        <v>37</v>
      </c>
      <c r="T905" t="s">
        <v>738</v>
      </c>
      <c r="U905">
        <v>450</v>
      </c>
      <c r="V905">
        <v>180</v>
      </c>
      <c r="W905">
        <v>3.5</v>
      </c>
      <c r="X905" t="s">
        <v>156</v>
      </c>
      <c r="Y905">
        <v>12.5</v>
      </c>
      <c r="Z905">
        <v>0.15</v>
      </c>
      <c r="AA905">
        <v>0.05</v>
      </c>
      <c r="AB905">
        <v>16650</v>
      </c>
      <c r="AC905">
        <v>15818</v>
      </c>
      <c r="AD905">
        <v>129.5</v>
      </c>
      <c r="AE905">
        <v>2372.6999999999998</v>
      </c>
      <c r="AF905">
        <v>2373</v>
      </c>
      <c r="AG905">
        <v>6660</v>
      </c>
      <c r="AH905">
        <v>4412.2999999999993</v>
      </c>
      <c r="AI905" s="5">
        <v>0.27894171197370099</v>
      </c>
    </row>
    <row r="906" spans="14:35" x14ac:dyDescent="0.25">
      <c r="N906" t="s">
        <v>928</v>
      </c>
      <c r="O906" s="1">
        <v>46177.166666666664</v>
      </c>
      <c r="P906" t="s">
        <v>737</v>
      </c>
      <c r="Q906" t="s">
        <v>155</v>
      </c>
      <c r="R906" t="s">
        <v>32</v>
      </c>
      <c r="S906">
        <v>144</v>
      </c>
      <c r="T906" t="s">
        <v>738</v>
      </c>
      <c r="U906">
        <v>450</v>
      </c>
      <c r="V906">
        <v>180</v>
      </c>
      <c r="W906">
        <v>3.5</v>
      </c>
      <c r="X906" t="s">
        <v>156</v>
      </c>
      <c r="Y906">
        <v>12.5</v>
      </c>
      <c r="Z906">
        <v>0.15</v>
      </c>
      <c r="AA906">
        <v>0.05</v>
      </c>
      <c r="AB906">
        <v>64800</v>
      </c>
      <c r="AC906">
        <v>61560</v>
      </c>
      <c r="AD906">
        <v>504</v>
      </c>
      <c r="AE906">
        <v>9234</v>
      </c>
      <c r="AF906">
        <v>9234</v>
      </c>
      <c r="AG906">
        <v>25920</v>
      </c>
      <c r="AH906">
        <v>17172</v>
      </c>
      <c r="AI906" s="5">
        <v>0.278947368421053</v>
      </c>
    </row>
    <row r="907" spans="14:35" x14ac:dyDescent="0.25">
      <c r="N907" t="s">
        <v>929</v>
      </c>
      <c r="O907" s="1">
        <v>46178.333333333336</v>
      </c>
      <c r="P907" t="s">
        <v>737</v>
      </c>
      <c r="Q907" t="s">
        <v>155</v>
      </c>
      <c r="R907" t="s">
        <v>32</v>
      </c>
      <c r="S907">
        <v>50</v>
      </c>
      <c r="T907" t="s">
        <v>738</v>
      </c>
      <c r="U907">
        <v>450</v>
      </c>
      <c r="V907">
        <v>180</v>
      </c>
      <c r="W907">
        <v>3.5</v>
      </c>
      <c r="X907" t="s">
        <v>156</v>
      </c>
      <c r="Y907">
        <v>12.5</v>
      </c>
      <c r="Z907">
        <v>0.15</v>
      </c>
      <c r="AA907">
        <v>0.05</v>
      </c>
      <c r="AB907">
        <v>22500</v>
      </c>
      <c r="AC907">
        <v>21375</v>
      </c>
      <c r="AD907">
        <v>175</v>
      </c>
      <c r="AE907">
        <v>3206.25</v>
      </c>
      <c r="AF907">
        <v>3206</v>
      </c>
      <c r="AG907">
        <v>9000</v>
      </c>
      <c r="AH907">
        <v>5962.75</v>
      </c>
      <c r="AI907" s="5">
        <v>0.27895906432748502</v>
      </c>
    </row>
    <row r="908" spans="14:35" x14ac:dyDescent="0.25">
      <c r="N908" t="s">
        <v>930</v>
      </c>
      <c r="O908" s="1">
        <v>46178.625</v>
      </c>
      <c r="P908" t="s">
        <v>737</v>
      </c>
      <c r="Q908" t="s">
        <v>155</v>
      </c>
      <c r="R908" t="s">
        <v>29</v>
      </c>
      <c r="S908">
        <v>37</v>
      </c>
      <c r="T908" t="s">
        <v>738</v>
      </c>
      <c r="U908">
        <v>450</v>
      </c>
      <c r="V908">
        <v>180</v>
      </c>
      <c r="W908">
        <v>3.5</v>
      </c>
      <c r="X908" t="s">
        <v>156</v>
      </c>
      <c r="Y908">
        <v>12.5</v>
      </c>
      <c r="Z908">
        <v>0.15</v>
      </c>
      <c r="AA908">
        <v>0.1</v>
      </c>
      <c r="AB908">
        <v>16650</v>
      </c>
      <c r="AC908">
        <v>14985</v>
      </c>
      <c r="AD908">
        <v>129.5</v>
      </c>
      <c r="AE908">
        <v>2247.75</v>
      </c>
      <c r="AF908">
        <v>2248</v>
      </c>
      <c r="AG908">
        <v>6660</v>
      </c>
      <c r="AH908">
        <v>3829.25</v>
      </c>
      <c r="AI908" s="5">
        <v>0.255538872205539</v>
      </c>
    </row>
    <row r="909" spans="14:35" x14ac:dyDescent="0.25">
      <c r="N909" t="s">
        <v>931</v>
      </c>
      <c r="O909" s="1">
        <v>46179.25</v>
      </c>
      <c r="P909" t="s">
        <v>737</v>
      </c>
      <c r="Q909" t="s">
        <v>155</v>
      </c>
      <c r="R909" t="s">
        <v>29</v>
      </c>
      <c r="S909">
        <v>101</v>
      </c>
      <c r="T909" t="s">
        <v>738</v>
      </c>
      <c r="U909">
        <v>450</v>
      </c>
      <c r="V909">
        <v>180</v>
      </c>
      <c r="W909">
        <v>3.5</v>
      </c>
      <c r="X909" t="s">
        <v>156</v>
      </c>
      <c r="Y909">
        <v>12.5</v>
      </c>
      <c r="Z909">
        <v>0.15</v>
      </c>
      <c r="AA909">
        <v>0.1</v>
      </c>
      <c r="AB909">
        <v>45450</v>
      </c>
      <c r="AC909">
        <v>40905</v>
      </c>
      <c r="AD909">
        <v>353.5</v>
      </c>
      <c r="AE909">
        <v>6135.75</v>
      </c>
      <c r="AF909">
        <v>6136</v>
      </c>
      <c r="AG909">
        <v>18180</v>
      </c>
      <c r="AH909">
        <v>10453.25</v>
      </c>
      <c r="AI909" s="5">
        <v>0.25554944383327199</v>
      </c>
    </row>
    <row r="910" spans="14:35" x14ac:dyDescent="0.25">
      <c r="N910" t="s">
        <v>932</v>
      </c>
      <c r="O910" s="1">
        <v>46179.375</v>
      </c>
      <c r="P910" t="s">
        <v>737</v>
      </c>
      <c r="Q910" t="s">
        <v>155</v>
      </c>
      <c r="R910" t="s">
        <v>32</v>
      </c>
      <c r="S910">
        <v>97</v>
      </c>
      <c r="T910" t="s">
        <v>738</v>
      </c>
      <c r="U910">
        <v>450</v>
      </c>
      <c r="V910">
        <v>180</v>
      </c>
      <c r="W910">
        <v>3.5</v>
      </c>
      <c r="X910" t="s">
        <v>156</v>
      </c>
      <c r="Y910">
        <v>12.5</v>
      </c>
      <c r="Z910">
        <v>0.15</v>
      </c>
      <c r="AA910">
        <v>0.05</v>
      </c>
      <c r="AB910">
        <v>43650</v>
      </c>
      <c r="AC910">
        <v>41468</v>
      </c>
      <c r="AD910">
        <v>339.5</v>
      </c>
      <c r="AE910">
        <v>6220.2</v>
      </c>
      <c r="AF910">
        <v>6220</v>
      </c>
      <c r="AG910">
        <v>17460</v>
      </c>
      <c r="AH910">
        <v>11567.8</v>
      </c>
      <c r="AI910" s="5">
        <v>0.27895726825504003</v>
      </c>
    </row>
    <row r="911" spans="14:35" x14ac:dyDescent="0.25">
      <c r="N911" t="s">
        <v>933</v>
      </c>
      <c r="O911" s="1">
        <v>46179.5</v>
      </c>
      <c r="P911" t="s">
        <v>737</v>
      </c>
      <c r="Q911" t="s">
        <v>155</v>
      </c>
      <c r="R911" t="s">
        <v>24</v>
      </c>
      <c r="S911">
        <v>52</v>
      </c>
      <c r="T911" t="s">
        <v>738</v>
      </c>
      <c r="U911">
        <v>450</v>
      </c>
      <c r="V911">
        <v>180</v>
      </c>
      <c r="W911">
        <v>3.5</v>
      </c>
      <c r="X911" t="s">
        <v>156</v>
      </c>
      <c r="Y911">
        <v>12.5</v>
      </c>
      <c r="Z911">
        <v>0.15</v>
      </c>
      <c r="AA911">
        <v>0.02</v>
      </c>
      <c r="AB911">
        <v>23400</v>
      </c>
      <c r="AC911">
        <v>22932</v>
      </c>
      <c r="AD911">
        <v>182</v>
      </c>
      <c r="AE911">
        <v>3439.7999999999997</v>
      </c>
      <c r="AF911">
        <v>3440</v>
      </c>
      <c r="AG911">
        <v>9360</v>
      </c>
      <c r="AH911">
        <v>6692.2000000000007</v>
      </c>
      <c r="AI911" s="5">
        <v>0.29182801325658497</v>
      </c>
    </row>
    <row r="912" spans="14:35" x14ac:dyDescent="0.25">
      <c r="N912" t="s">
        <v>934</v>
      </c>
      <c r="O912" s="1">
        <v>46179.625</v>
      </c>
      <c r="P912" t="s">
        <v>737</v>
      </c>
      <c r="Q912" t="s">
        <v>155</v>
      </c>
      <c r="R912" t="s">
        <v>32</v>
      </c>
      <c r="S912">
        <v>178</v>
      </c>
      <c r="T912" t="s">
        <v>738</v>
      </c>
      <c r="U912">
        <v>450</v>
      </c>
      <c r="V912">
        <v>180</v>
      </c>
      <c r="W912">
        <v>3.5</v>
      </c>
      <c r="X912" t="s">
        <v>156</v>
      </c>
      <c r="Y912">
        <v>12.5</v>
      </c>
      <c r="Z912">
        <v>0.15</v>
      </c>
      <c r="AA912">
        <v>0.05</v>
      </c>
      <c r="AB912">
        <v>80100</v>
      </c>
      <c r="AC912">
        <v>76095</v>
      </c>
      <c r="AD912">
        <v>623</v>
      </c>
      <c r="AE912">
        <v>11414.25</v>
      </c>
      <c r="AF912">
        <v>11414</v>
      </c>
      <c r="AG912">
        <v>32040</v>
      </c>
      <c r="AH912">
        <v>21226.75</v>
      </c>
      <c r="AI912" s="5">
        <v>0.27895065378802802</v>
      </c>
    </row>
    <row r="913" spans="14:35" x14ac:dyDescent="0.25">
      <c r="N913" t="s">
        <v>935</v>
      </c>
      <c r="O913" s="1">
        <v>46179.875</v>
      </c>
      <c r="P913" t="s">
        <v>737</v>
      </c>
      <c r="Q913" t="s">
        <v>155</v>
      </c>
      <c r="R913" t="s">
        <v>24</v>
      </c>
      <c r="S913">
        <v>137</v>
      </c>
      <c r="T913" t="s">
        <v>738</v>
      </c>
      <c r="U913">
        <v>450</v>
      </c>
      <c r="V913">
        <v>180</v>
      </c>
      <c r="W913">
        <v>3.5</v>
      </c>
      <c r="X913" t="s">
        <v>156</v>
      </c>
      <c r="Y913">
        <v>12.5</v>
      </c>
      <c r="Z913">
        <v>0.15</v>
      </c>
      <c r="AA913">
        <v>0.02</v>
      </c>
      <c r="AB913">
        <v>61650</v>
      </c>
      <c r="AC913">
        <v>60417</v>
      </c>
      <c r="AD913">
        <v>479.5</v>
      </c>
      <c r="AE913">
        <v>9062.5499999999993</v>
      </c>
      <c r="AF913">
        <v>9063</v>
      </c>
      <c r="AG913">
        <v>24660</v>
      </c>
      <c r="AH913">
        <v>17631.449999999997</v>
      </c>
      <c r="AI913" s="5">
        <v>0.29182928645910899</v>
      </c>
    </row>
    <row r="914" spans="14:35" x14ac:dyDescent="0.25">
      <c r="N914" t="s">
        <v>936</v>
      </c>
      <c r="O914" s="1">
        <v>46179.958333333336</v>
      </c>
      <c r="P914" t="s">
        <v>737</v>
      </c>
      <c r="Q914" t="s">
        <v>155</v>
      </c>
      <c r="R914" t="s">
        <v>24</v>
      </c>
      <c r="S914">
        <v>194</v>
      </c>
      <c r="T914" t="s">
        <v>738</v>
      </c>
      <c r="U914">
        <v>450</v>
      </c>
      <c r="V914">
        <v>180</v>
      </c>
      <c r="W914">
        <v>3.5</v>
      </c>
      <c r="X914" t="s">
        <v>156</v>
      </c>
      <c r="Y914">
        <v>12.5</v>
      </c>
      <c r="Z914">
        <v>0.15</v>
      </c>
      <c r="AA914">
        <v>0.02</v>
      </c>
      <c r="AB914">
        <v>87300</v>
      </c>
      <c r="AC914">
        <v>85554</v>
      </c>
      <c r="AD914">
        <v>679</v>
      </c>
      <c r="AE914">
        <v>12833.1</v>
      </c>
      <c r="AF914">
        <v>12833</v>
      </c>
      <c r="AG914">
        <v>34920</v>
      </c>
      <c r="AH914">
        <v>24967.9</v>
      </c>
      <c r="AI914" s="5">
        <v>0.29183790354629802</v>
      </c>
    </row>
    <row r="915" spans="14:35" x14ac:dyDescent="0.25">
      <c r="N915" t="s">
        <v>937</v>
      </c>
      <c r="O915" s="1">
        <v>46180.291666666664</v>
      </c>
      <c r="P915" t="s">
        <v>737</v>
      </c>
      <c r="Q915" t="s">
        <v>155</v>
      </c>
      <c r="R915" t="s">
        <v>24</v>
      </c>
      <c r="S915">
        <v>107</v>
      </c>
      <c r="T915" t="s">
        <v>738</v>
      </c>
      <c r="U915">
        <v>450</v>
      </c>
      <c r="V915">
        <v>180</v>
      </c>
      <c r="W915">
        <v>3.5</v>
      </c>
      <c r="X915" t="s">
        <v>156</v>
      </c>
      <c r="Y915">
        <v>12.5</v>
      </c>
      <c r="Z915">
        <v>0.15</v>
      </c>
      <c r="AA915">
        <v>0.02</v>
      </c>
      <c r="AB915">
        <v>48150</v>
      </c>
      <c r="AC915">
        <v>47187</v>
      </c>
      <c r="AD915">
        <v>374.5</v>
      </c>
      <c r="AE915">
        <v>7078.05</v>
      </c>
      <c r="AF915">
        <v>7078</v>
      </c>
      <c r="AG915">
        <v>19260</v>
      </c>
      <c r="AH915">
        <v>13770.949999999997</v>
      </c>
      <c r="AI915" s="5">
        <v>0.29183779430775397</v>
      </c>
    </row>
    <row r="916" spans="14:35" x14ac:dyDescent="0.25">
      <c r="N916" t="s">
        <v>938</v>
      </c>
      <c r="O916" s="1">
        <v>46180.375</v>
      </c>
      <c r="P916" t="s">
        <v>737</v>
      </c>
      <c r="Q916" t="s">
        <v>155</v>
      </c>
      <c r="R916" t="s">
        <v>29</v>
      </c>
      <c r="S916">
        <v>67</v>
      </c>
      <c r="T916" t="s">
        <v>738</v>
      </c>
      <c r="U916">
        <v>450</v>
      </c>
      <c r="V916">
        <v>180</v>
      </c>
      <c r="W916">
        <v>3.5</v>
      </c>
      <c r="X916" t="s">
        <v>156</v>
      </c>
      <c r="Y916">
        <v>12.5</v>
      </c>
      <c r="Z916">
        <v>0.15</v>
      </c>
      <c r="AA916">
        <v>0.1</v>
      </c>
      <c r="AB916">
        <v>30150</v>
      </c>
      <c r="AC916">
        <v>27135</v>
      </c>
      <c r="AD916">
        <v>234.5</v>
      </c>
      <c r="AE916">
        <v>4070.25</v>
      </c>
      <c r="AF916">
        <v>4070</v>
      </c>
      <c r="AG916">
        <v>12060</v>
      </c>
      <c r="AH916">
        <v>6934.75</v>
      </c>
      <c r="AI916" s="5">
        <v>0.25556476874884798</v>
      </c>
    </row>
    <row r="917" spans="14:35" x14ac:dyDescent="0.25">
      <c r="N917" t="s">
        <v>939</v>
      </c>
      <c r="O917" s="1">
        <v>46180.541666666664</v>
      </c>
      <c r="P917" t="s">
        <v>737</v>
      </c>
      <c r="Q917" t="s">
        <v>155</v>
      </c>
      <c r="R917" t="s">
        <v>24</v>
      </c>
      <c r="S917">
        <v>195</v>
      </c>
      <c r="T917" t="s">
        <v>738</v>
      </c>
      <c r="U917">
        <v>450</v>
      </c>
      <c r="V917">
        <v>180</v>
      </c>
      <c r="W917">
        <v>3.5</v>
      </c>
      <c r="X917" t="s">
        <v>156</v>
      </c>
      <c r="Y917">
        <v>12.5</v>
      </c>
      <c r="Z917">
        <v>0.15</v>
      </c>
      <c r="AA917">
        <v>0.02</v>
      </c>
      <c r="AB917">
        <v>87750</v>
      </c>
      <c r="AC917">
        <v>85995</v>
      </c>
      <c r="AD917">
        <v>682.5</v>
      </c>
      <c r="AE917">
        <v>12899.25</v>
      </c>
      <c r="AF917">
        <v>12899</v>
      </c>
      <c r="AG917">
        <v>35100</v>
      </c>
      <c r="AH917">
        <v>25096.75</v>
      </c>
      <c r="AI917" s="5">
        <v>0.29183964183964201</v>
      </c>
    </row>
    <row r="918" spans="14:35" x14ac:dyDescent="0.25">
      <c r="N918" t="s">
        <v>940</v>
      </c>
      <c r="O918" s="1">
        <v>46181.375</v>
      </c>
      <c r="P918" t="s">
        <v>737</v>
      </c>
      <c r="Q918" t="s">
        <v>155</v>
      </c>
      <c r="R918" t="s">
        <v>29</v>
      </c>
      <c r="S918">
        <v>185</v>
      </c>
      <c r="T918" t="s">
        <v>738</v>
      </c>
      <c r="U918">
        <v>450</v>
      </c>
      <c r="V918">
        <v>180</v>
      </c>
      <c r="W918">
        <v>3.5</v>
      </c>
      <c r="X918" t="s">
        <v>156</v>
      </c>
      <c r="Y918">
        <v>12.5</v>
      </c>
      <c r="Z918">
        <v>0.15</v>
      </c>
      <c r="AA918">
        <v>0.1</v>
      </c>
      <c r="AB918">
        <v>83250</v>
      </c>
      <c r="AC918">
        <v>74925</v>
      </c>
      <c r="AD918">
        <v>647.5</v>
      </c>
      <c r="AE918">
        <v>11238.75</v>
      </c>
      <c r="AF918">
        <v>11239</v>
      </c>
      <c r="AG918">
        <v>33300</v>
      </c>
      <c r="AH918">
        <v>19147.25</v>
      </c>
      <c r="AI918" s="5">
        <v>0.25555221888555202</v>
      </c>
    </row>
    <row r="919" spans="14:35" x14ac:dyDescent="0.25">
      <c r="N919" t="s">
        <v>941</v>
      </c>
      <c r="O919" s="1">
        <v>46181.875</v>
      </c>
      <c r="P919" t="s">
        <v>737</v>
      </c>
      <c r="Q919" t="s">
        <v>155</v>
      </c>
      <c r="R919" t="s">
        <v>32</v>
      </c>
      <c r="S919">
        <v>173</v>
      </c>
      <c r="T919" t="s">
        <v>738</v>
      </c>
      <c r="U919">
        <v>450</v>
      </c>
      <c r="V919">
        <v>180</v>
      </c>
      <c r="W919">
        <v>3.5</v>
      </c>
      <c r="X919" t="s">
        <v>156</v>
      </c>
      <c r="Y919">
        <v>12.5</v>
      </c>
      <c r="Z919">
        <v>0.15</v>
      </c>
      <c r="AA919">
        <v>0.05</v>
      </c>
      <c r="AB919">
        <v>77850</v>
      </c>
      <c r="AC919">
        <v>73958</v>
      </c>
      <c r="AD919">
        <v>605.5</v>
      </c>
      <c r="AE919">
        <v>11093.699999999999</v>
      </c>
      <c r="AF919">
        <v>11094</v>
      </c>
      <c r="AG919">
        <v>31140</v>
      </c>
      <c r="AH919">
        <v>20630.300000000003</v>
      </c>
      <c r="AI919" s="5">
        <v>0.27894615863057398</v>
      </c>
    </row>
    <row r="920" spans="14:35" x14ac:dyDescent="0.25">
      <c r="N920" t="s">
        <v>942</v>
      </c>
      <c r="O920" s="1">
        <v>46182.166666666664</v>
      </c>
      <c r="P920" t="s">
        <v>737</v>
      </c>
      <c r="Q920" t="s">
        <v>155</v>
      </c>
      <c r="R920" t="s">
        <v>32</v>
      </c>
      <c r="S920">
        <v>26</v>
      </c>
      <c r="T920" t="s">
        <v>738</v>
      </c>
      <c r="U920">
        <v>450</v>
      </c>
      <c r="V920">
        <v>180</v>
      </c>
      <c r="W920">
        <v>3.5</v>
      </c>
      <c r="X920" t="s">
        <v>156</v>
      </c>
      <c r="Y920">
        <v>12.5</v>
      </c>
      <c r="Z920">
        <v>0.15</v>
      </c>
      <c r="AA920">
        <v>0.05</v>
      </c>
      <c r="AB920">
        <v>11700</v>
      </c>
      <c r="AC920">
        <v>11115</v>
      </c>
      <c r="AD920">
        <v>91</v>
      </c>
      <c r="AE920">
        <v>1667.25</v>
      </c>
      <c r="AF920">
        <v>1667</v>
      </c>
      <c r="AG920">
        <v>4680</v>
      </c>
      <c r="AH920">
        <v>3100.75</v>
      </c>
      <c r="AI920" s="5">
        <v>0.27896986054880801</v>
      </c>
    </row>
    <row r="921" spans="14:35" x14ac:dyDescent="0.25">
      <c r="N921" t="s">
        <v>943</v>
      </c>
      <c r="O921" s="1">
        <v>46182.5</v>
      </c>
      <c r="P921" t="s">
        <v>737</v>
      </c>
      <c r="Q921" t="s">
        <v>155</v>
      </c>
      <c r="R921" t="s">
        <v>29</v>
      </c>
      <c r="S921">
        <v>193</v>
      </c>
      <c r="T921" t="s">
        <v>738</v>
      </c>
      <c r="U921">
        <v>450</v>
      </c>
      <c r="V921">
        <v>180</v>
      </c>
      <c r="W921">
        <v>3.5</v>
      </c>
      <c r="X921" t="s">
        <v>156</v>
      </c>
      <c r="Y921">
        <v>12.5</v>
      </c>
      <c r="Z921">
        <v>0.15</v>
      </c>
      <c r="AA921">
        <v>0.1</v>
      </c>
      <c r="AB921">
        <v>86850</v>
      </c>
      <c r="AC921">
        <v>78165</v>
      </c>
      <c r="AD921">
        <v>675.5</v>
      </c>
      <c r="AE921">
        <v>11724.75</v>
      </c>
      <c r="AF921">
        <v>11725</v>
      </c>
      <c r="AG921">
        <v>34740</v>
      </c>
      <c r="AH921">
        <v>19975.25</v>
      </c>
      <c r="AI921" s="5">
        <v>0.25555235719311697</v>
      </c>
    </row>
    <row r="922" spans="14:35" x14ac:dyDescent="0.25">
      <c r="N922" t="s">
        <v>944</v>
      </c>
      <c r="O922" s="1">
        <v>46182.541666666664</v>
      </c>
      <c r="P922" t="s">
        <v>737</v>
      </c>
      <c r="Q922" t="s">
        <v>155</v>
      </c>
      <c r="R922" t="s">
        <v>29</v>
      </c>
      <c r="S922">
        <v>73</v>
      </c>
      <c r="T922" t="s">
        <v>738</v>
      </c>
      <c r="U922">
        <v>450</v>
      </c>
      <c r="V922">
        <v>180</v>
      </c>
      <c r="W922">
        <v>3.5</v>
      </c>
      <c r="X922" t="s">
        <v>156</v>
      </c>
      <c r="Y922">
        <v>12.5</v>
      </c>
      <c r="Z922">
        <v>0.15</v>
      </c>
      <c r="AA922">
        <v>0.1</v>
      </c>
      <c r="AB922">
        <v>32850</v>
      </c>
      <c r="AC922">
        <v>29565</v>
      </c>
      <c r="AD922">
        <v>255.5</v>
      </c>
      <c r="AE922">
        <v>4434.75</v>
      </c>
      <c r="AF922">
        <v>4435</v>
      </c>
      <c r="AG922">
        <v>13140</v>
      </c>
      <c r="AH922">
        <v>7555.25</v>
      </c>
      <c r="AI922" s="5">
        <v>0.25554709961102701</v>
      </c>
    </row>
    <row r="923" spans="14:35" x14ac:dyDescent="0.25">
      <c r="N923" t="s">
        <v>945</v>
      </c>
      <c r="O923" s="1">
        <v>46182.625</v>
      </c>
      <c r="P923" t="s">
        <v>737</v>
      </c>
      <c r="Q923" t="s">
        <v>155</v>
      </c>
      <c r="R923" t="s">
        <v>24</v>
      </c>
      <c r="S923">
        <v>187</v>
      </c>
      <c r="T923" t="s">
        <v>738</v>
      </c>
      <c r="U923">
        <v>450</v>
      </c>
      <c r="V923">
        <v>180</v>
      </c>
      <c r="W923">
        <v>3.5</v>
      </c>
      <c r="X923" t="s">
        <v>156</v>
      </c>
      <c r="Y923">
        <v>12.5</v>
      </c>
      <c r="Z923">
        <v>0.15</v>
      </c>
      <c r="AA923">
        <v>0.02</v>
      </c>
      <c r="AB923">
        <v>84150</v>
      </c>
      <c r="AC923">
        <v>82467</v>
      </c>
      <c r="AD923">
        <v>654.5</v>
      </c>
      <c r="AE923">
        <v>12370.05</v>
      </c>
      <c r="AF923">
        <v>12370</v>
      </c>
      <c r="AG923">
        <v>33660</v>
      </c>
      <c r="AH923">
        <v>24066.949999999997</v>
      </c>
      <c r="AI923" s="5">
        <v>0.29183734099700498</v>
      </c>
    </row>
    <row r="924" spans="14:35" x14ac:dyDescent="0.25">
      <c r="N924" t="s">
        <v>946</v>
      </c>
      <c r="O924" s="1">
        <v>46182.916666666664</v>
      </c>
      <c r="P924" t="s">
        <v>737</v>
      </c>
      <c r="Q924" t="s">
        <v>155</v>
      </c>
      <c r="R924" t="s">
        <v>24</v>
      </c>
      <c r="S924">
        <v>155</v>
      </c>
      <c r="T924" t="s">
        <v>738</v>
      </c>
      <c r="U924">
        <v>450</v>
      </c>
      <c r="V924">
        <v>180</v>
      </c>
      <c r="W924">
        <v>3.5</v>
      </c>
      <c r="X924" t="s">
        <v>156</v>
      </c>
      <c r="Y924">
        <v>12.5</v>
      </c>
      <c r="Z924">
        <v>0.15</v>
      </c>
      <c r="AA924">
        <v>0.02</v>
      </c>
      <c r="AB924">
        <v>69750</v>
      </c>
      <c r="AC924">
        <v>68355</v>
      </c>
      <c r="AD924">
        <v>542.5</v>
      </c>
      <c r="AE924">
        <v>10253.25</v>
      </c>
      <c r="AF924">
        <v>10253</v>
      </c>
      <c r="AG924">
        <v>27900</v>
      </c>
      <c r="AH924">
        <v>19948.75</v>
      </c>
      <c r="AI924" s="5">
        <v>0.29184039207080698</v>
      </c>
    </row>
    <row r="925" spans="14:35" x14ac:dyDescent="0.25">
      <c r="N925" t="s">
        <v>947</v>
      </c>
      <c r="O925" s="1">
        <v>46183.041666666664</v>
      </c>
      <c r="P925" t="s">
        <v>737</v>
      </c>
      <c r="Q925" t="s">
        <v>155</v>
      </c>
      <c r="R925" t="s">
        <v>32</v>
      </c>
      <c r="S925">
        <v>32</v>
      </c>
      <c r="T925" t="s">
        <v>738</v>
      </c>
      <c r="U925">
        <v>450</v>
      </c>
      <c r="V925">
        <v>180</v>
      </c>
      <c r="W925">
        <v>3.5</v>
      </c>
      <c r="X925" t="s">
        <v>156</v>
      </c>
      <c r="Y925">
        <v>12.5</v>
      </c>
      <c r="Z925">
        <v>0.15</v>
      </c>
      <c r="AA925">
        <v>0.05</v>
      </c>
      <c r="AB925">
        <v>14400</v>
      </c>
      <c r="AC925">
        <v>13680</v>
      </c>
      <c r="AD925">
        <v>112</v>
      </c>
      <c r="AE925">
        <v>2052</v>
      </c>
      <c r="AF925">
        <v>2052</v>
      </c>
      <c r="AG925">
        <v>5760</v>
      </c>
      <c r="AH925">
        <v>3816</v>
      </c>
      <c r="AI925" s="5">
        <v>0.278947368421053</v>
      </c>
    </row>
    <row r="926" spans="14:35" x14ac:dyDescent="0.25">
      <c r="N926" t="s">
        <v>948</v>
      </c>
      <c r="O926" s="1">
        <v>46184.416666666664</v>
      </c>
      <c r="P926" t="s">
        <v>737</v>
      </c>
      <c r="Q926" t="s">
        <v>155</v>
      </c>
      <c r="R926" t="s">
        <v>29</v>
      </c>
      <c r="S926">
        <v>188</v>
      </c>
      <c r="T926" t="s">
        <v>738</v>
      </c>
      <c r="U926">
        <v>450</v>
      </c>
      <c r="V926">
        <v>180</v>
      </c>
      <c r="W926">
        <v>3.5</v>
      </c>
      <c r="X926" t="s">
        <v>156</v>
      </c>
      <c r="Y926">
        <v>12.5</v>
      </c>
      <c r="Z926">
        <v>0.15</v>
      </c>
      <c r="AA926">
        <v>0.1</v>
      </c>
      <c r="AB926">
        <v>84600</v>
      </c>
      <c r="AC926">
        <v>76140</v>
      </c>
      <c r="AD926">
        <v>658</v>
      </c>
      <c r="AE926">
        <v>11421</v>
      </c>
      <c r="AF926">
        <v>11421</v>
      </c>
      <c r="AG926">
        <v>33840</v>
      </c>
      <c r="AH926">
        <v>19458</v>
      </c>
      <c r="AI926" s="5">
        <v>0.25555555555555598</v>
      </c>
    </row>
    <row r="927" spans="14:35" x14ac:dyDescent="0.25">
      <c r="N927" t="s">
        <v>949</v>
      </c>
      <c r="O927" s="1">
        <v>46143.5</v>
      </c>
      <c r="P927" t="s">
        <v>737</v>
      </c>
      <c r="Q927" t="s">
        <v>23</v>
      </c>
      <c r="R927" t="s">
        <v>24</v>
      </c>
      <c r="S927">
        <v>29</v>
      </c>
      <c r="T927" t="s">
        <v>738</v>
      </c>
      <c r="U927">
        <v>450</v>
      </c>
      <c r="V927">
        <v>180</v>
      </c>
      <c r="W927">
        <v>3.5</v>
      </c>
      <c r="X927" t="s">
        <v>26</v>
      </c>
      <c r="Y927">
        <v>4.5</v>
      </c>
      <c r="Z927">
        <v>0.05</v>
      </c>
      <c r="AA927">
        <v>0.02</v>
      </c>
      <c r="AB927">
        <v>13050</v>
      </c>
      <c r="AC927">
        <v>12789</v>
      </c>
      <c r="AD927">
        <v>101.5</v>
      </c>
      <c r="AE927">
        <v>639.45000000000005</v>
      </c>
      <c r="AF927">
        <v>639</v>
      </c>
      <c r="AG927">
        <v>5220</v>
      </c>
      <c r="AH927">
        <v>6290.55</v>
      </c>
      <c r="AI927" s="5">
        <v>0.49187192118226603</v>
      </c>
    </row>
    <row r="928" spans="14:35" x14ac:dyDescent="0.25">
      <c r="N928" t="s">
        <v>950</v>
      </c>
      <c r="O928" s="1">
        <v>46143.541666666664</v>
      </c>
      <c r="P928" t="s">
        <v>737</v>
      </c>
      <c r="Q928" t="s">
        <v>23</v>
      </c>
      <c r="R928" t="s">
        <v>29</v>
      </c>
      <c r="S928">
        <v>39</v>
      </c>
      <c r="T928" t="s">
        <v>738</v>
      </c>
      <c r="U928">
        <v>450</v>
      </c>
      <c r="V928">
        <v>180</v>
      </c>
      <c r="W928">
        <v>3.5</v>
      </c>
      <c r="X928" t="s">
        <v>26</v>
      </c>
      <c r="Y928">
        <v>4.5</v>
      </c>
      <c r="Z928">
        <v>0.05</v>
      </c>
      <c r="AA928">
        <v>0.1</v>
      </c>
      <c r="AB928">
        <v>17550</v>
      </c>
      <c r="AC928">
        <v>15795</v>
      </c>
      <c r="AD928">
        <v>136.5</v>
      </c>
      <c r="AE928">
        <v>789.75</v>
      </c>
      <c r="AF928">
        <v>790</v>
      </c>
      <c r="AG928">
        <v>7020</v>
      </c>
      <c r="AH928">
        <v>7195.25</v>
      </c>
      <c r="AI928" s="5">
        <v>0.45553972776195001</v>
      </c>
    </row>
    <row r="929" spans="14:35" x14ac:dyDescent="0.25">
      <c r="N929" t="s">
        <v>951</v>
      </c>
      <c r="O929" s="1">
        <v>46144.291666666664</v>
      </c>
      <c r="P929" t="s">
        <v>737</v>
      </c>
      <c r="Q929" t="s">
        <v>23</v>
      </c>
      <c r="R929" t="s">
        <v>32</v>
      </c>
      <c r="S929">
        <v>60</v>
      </c>
      <c r="T929" t="s">
        <v>738</v>
      </c>
      <c r="U929">
        <v>450</v>
      </c>
      <c r="V929">
        <v>180</v>
      </c>
      <c r="W929">
        <v>3.5</v>
      </c>
      <c r="X929" t="s">
        <v>26</v>
      </c>
      <c r="Y929">
        <v>4.5</v>
      </c>
      <c r="Z929">
        <v>0.05</v>
      </c>
      <c r="AA929">
        <v>0.05</v>
      </c>
      <c r="AB929">
        <v>27000</v>
      </c>
      <c r="AC929">
        <v>25650</v>
      </c>
      <c r="AD929">
        <v>210</v>
      </c>
      <c r="AE929">
        <v>1282.5</v>
      </c>
      <c r="AF929">
        <v>1282</v>
      </c>
      <c r="AG929">
        <v>10800</v>
      </c>
      <c r="AH929">
        <v>12285.5</v>
      </c>
      <c r="AI929" s="5">
        <v>0.47896686159844098</v>
      </c>
    </row>
    <row r="930" spans="14:35" x14ac:dyDescent="0.25">
      <c r="N930" t="s">
        <v>952</v>
      </c>
      <c r="O930" s="1">
        <v>46145.125</v>
      </c>
      <c r="P930" t="s">
        <v>737</v>
      </c>
      <c r="Q930" t="s">
        <v>23</v>
      </c>
      <c r="R930" t="s">
        <v>29</v>
      </c>
      <c r="S930">
        <v>143</v>
      </c>
      <c r="T930" t="s">
        <v>738</v>
      </c>
      <c r="U930">
        <v>450</v>
      </c>
      <c r="V930">
        <v>180</v>
      </c>
      <c r="W930">
        <v>3.5</v>
      </c>
      <c r="X930" t="s">
        <v>26</v>
      </c>
      <c r="Y930">
        <v>4.5</v>
      </c>
      <c r="Z930">
        <v>0.05</v>
      </c>
      <c r="AA930">
        <v>0.1</v>
      </c>
      <c r="AB930">
        <v>64350</v>
      </c>
      <c r="AC930">
        <v>57915</v>
      </c>
      <c r="AD930">
        <v>500.5</v>
      </c>
      <c r="AE930">
        <v>2895.75</v>
      </c>
      <c r="AF930">
        <v>2896</v>
      </c>
      <c r="AG930">
        <v>25740</v>
      </c>
      <c r="AH930">
        <v>26383.25</v>
      </c>
      <c r="AI930" s="5">
        <v>0.455551238884572</v>
      </c>
    </row>
    <row r="931" spans="14:35" x14ac:dyDescent="0.25">
      <c r="N931" t="s">
        <v>953</v>
      </c>
      <c r="O931" s="1">
        <v>46145.583333333336</v>
      </c>
      <c r="P931" t="s">
        <v>737</v>
      </c>
      <c r="Q931" t="s">
        <v>23</v>
      </c>
      <c r="R931" t="s">
        <v>29</v>
      </c>
      <c r="S931">
        <v>91</v>
      </c>
      <c r="T931" t="s">
        <v>738</v>
      </c>
      <c r="U931">
        <v>450</v>
      </c>
      <c r="V931">
        <v>180</v>
      </c>
      <c r="W931">
        <v>3.5</v>
      </c>
      <c r="X931" t="s">
        <v>26</v>
      </c>
      <c r="Y931">
        <v>4.5</v>
      </c>
      <c r="Z931">
        <v>0.05</v>
      </c>
      <c r="AA931">
        <v>0.1</v>
      </c>
      <c r="AB931">
        <v>40950</v>
      </c>
      <c r="AC931">
        <v>36855</v>
      </c>
      <c r="AD931">
        <v>318.5</v>
      </c>
      <c r="AE931">
        <v>1842.75</v>
      </c>
      <c r="AF931">
        <v>1843</v>
      </c>
      <c r="AG931">
        <v>16380</v>
      </c>
      <c r="AH931">
        <v>16789.25</v>
      </c>
      <c r="AI931" s="5">
        <v>0.45554877221543899</v>
      </c>
    </row>
    <row r="932" spans="14:35" x14ac:dyDescent="0.25">
      <c r="N932" t="s">
        <v>954</v>
      </c>
      <c r="O932" s="1">
        <v>46146.083333333336</v>
      </c>
      <c r="P932" t="s">
        <v>737</v>
      </c>
      <c r="Q932" t="s">
        <v>23</v>
      </c>
      <c r="R932" t="s">
        <v>24</v>
      </c>
      <c r="S932">
        <v>85</v>
      </c>
      <c r="T932" t="s">
        <v>738</v>
      </c>
      <c r="U932">
        <v>450</v>
      </c>
      <c r="V932">
        <v>180</v>
      </c>
      <c r="W932">
        <v>3.5</v>
      </c>
      <c r="X932" t="s">
        <v>26</v>
      </c>
      <c r="Y932">
        <v>4.5</v>
      </c>
      <c r="Z932">
        <v>0.05</v>
      </c>
      <c r="AA932">
        <v>0.02</v>
      </c>
      <c r="AB932">
        <v>38250</v>
      </c>
      <c r="AC932">
        <v>37485</v>
      </c>
      <c r="AD932">
        <v>297.5</v>
      </c>
      <c r="AE932">
        <v>1874.25</v>
      </c>
      <c r="AF932">
        <v>1874</v>
      </c>
      <c r="AG932">
        <v>15300</v>
      </c>
      <c r="AH932">
        <v>18436.75</v>
      </c>
      <c r="AI932" s="5">
        <v>0.49184340402827798</v>
      </c>
    </row>
    <row r="933" spans="14:35" x14ac:dyDescent="0.25">
      <c r="N933" t="s">
        <v>955</v>
      </c>
      <c r="O933" s="1">
        <v>46147</v>
      </c>
      <c r="P933" t="s">
        <v>737</v>
      </c>
      <c r="Q933" t="s">
        <v>23</v>
      </c>
      <c r="R933" t="s">
        <v>29</v>
      </c>
      <c r="S933">
        <v>60</v>
      </c>
      <c r="T933" t="s">
        <v>738</v>
      </c>
      <c r="U933">
        <v>450</v>
      </c>
      <c r="V933">
        <v>180</v>
      </c>
      <c r="W933">
        <v>3.5</v>
      </c>
      <c r="X933" t="s">
        <v>26</v>
      </c>
      <c r="Y933">
        <v>4.5</v>
      </c>
      <c r="Z933">
        <v>0.05</v>
      </c>
      <c r="AA933">
        <v>0.1</v>
      </c>
      <c r="AB933">
        <v>27000</v>
      </c>
      <c r="AC933">
        <v>24300</v>
      </c>
      <c r="AD933">
        <v>210</v>
      </c>
      <c r="AE933">
        <v>1215</v>
      </c>
      <c r="AF933">
        <v>1215</v>
      </c>
      <c r="AG933">
        <v>10800</v>
      </c>
      <c r="AH933">
        <v>11070</v>
      </c>
      <c r="AI933" s="5">
        <v>0.45555555555555599</v>
      </c>
    </row>
    <row r="934" spans="14:35" x14ac:dyDescent="0.25">
      <c r="N934" t="s">
        <v>956</v>
      </c>
      <c r="O934" s="1">
        <v>46147.208333333336</v>
      </c>
      <c r="P934" t="s">
        <v>737</v>
      </c>
      <c r="Q934" t="s">
        <v>23</v>
      </c>
      <c r="R934" t="s">
        <v>29</v>
      </c>
      <c r="S934">
        <v>64</v>
      </c>
      <c r="T934" t="s">
        <v>738</v>
      </c>
      <c r="U934">
        <v>450</v>
      </c>
      <c r="V934">
        <v>180</v>
      </c>
      <c r="W934">
        <v>3.5</v>
      </c>
      <c r="X934" t="s">
        <v>26</v>
      </c>
      <c r="Y934">
        <v>4.5</v>
      </c>
      <c r="Z934">
        <v>0.05</v>
      </c>
      <c r="AA934">
        <v>0.1</v>
      </c>
      <c r="AB934">
        <v>28800</v>
      </c>
      <c r="AC934">
        <v>25920</v>
      </c>
      <c r="AD934">
        <v>224</v>
      </c>
      <c r="AE934">
        <v>1296</v>
      </c>
      <c r="AF934">
        <v>1296</v>
      </c>
      <c r="AG934">
        <v>11520</v>
      </c>
      <c r="AH934">
        <v>11808</v>
      </c>
      <c r="AI934" s="5">
        <v>0.45555555555555599</v>
      </c>
    </row>
    <row r="935" spans="14:35" x14ac:dyDescent="0.25">
      <c r="N935" t="s">
        <v>957</v>
      </c>
      <c r="O935" s="1">
        <v>46147.25</v>
      </c>
      <c r="P935" t="s">
        <v>737</v>
      </c>
      <c r="Q935" t="s">
        <v>23</v>
      </c>
      <c r="R935" t="s">
        <v>24</v>
      </c>
      <c r="S935">
        <v>49</v>
      </c>
      <c r="T935" t="s">
        <v>738</v>
      </c>
      <c r="U935">
        <v>450</v>
      </c>
      <c r="V935">
        <v>180</v>
      </c>
      <c r="W935">
        <v>3.5</v>
      </c>
      <c r="X935" t="s">
        <v>26</v>
      </c>
      <c r="Y935">
        <v>4.5</v>
      </c>
      <c r="Z935">
        <v>0.05</v>
      </c>
      <c r="AA935">
        <v>0.02</v>
      </c>
      <c r="AB935">
        <v>22050</v>
      </c>
      <c r="AC935">
        <v>21609</v>
      </c>
      <c r="AD935">
        <v>171.5</v>
      </c>
      <c r="AE935">
        <v>1080.45</v>
      </c>
      <c r="AF935">
        <v>1080</v>
      </c>
      <c r="AG935">
        <v>8820</v>
      </c>
      <c r="AH935">
        <v>10628.55</v>
      </c>
      <c r="AI935" s="5">
        <v>0.49185755935027098</v>
      </c>
    </row>
    <row r="936" spans="14:35" x14ac:dyDescent="0.25">
      <c r="N936" t="s">
        <v>958</v>
      </c>
      <c r="O936" s="1">
        <v>46147.833333333336</v>
      </c>
      <c r="P936" t="s">
        <v>737</v>
      </c>
      <c r="Q936" t="s">
        <v>23</v>
      </c>
      <c r="R936" t="s">
        <v>24</v>
      </c>
      <c r="S936">
        <v>33</v>
      </c>
      <c r="T936" t="s">
        <v>738</v>
      </c>
      <c r="U936">
        <v>450</v>
      </c>
      <c r="V936">
        <v>180</v>
      </c>
      <c r="W936">
        <v>3.5</v>
      </c>
      <c r="X936" t="s">
        <v>26</v>
      </c>
      <c r="Y936">
        <v>4.5</v>
      </c>
      <c r="Z936">
        <v>0.05</v>
      </c>
      <c r="AA936">
        <v>0.02</v>
      </c>
      <c r="AB936">
        <v>14850</v>
      </c>
      <c r="AC936">
        <v>14553</v>
      </c>
      <c r="AD936">
        <v>115.5</v>
      </c>
      <c r="AE936">
        <v>727.65000000000009</v>
      </c>
      <c r="AF936">
        <v>728</v>
      </c>
      <c r="AG936">
        <v>5940</v>
      </c>
      <c r="AH936">
        <v>7157.35</v>
      </c>
      <c r="AI936" s="5">
        <v>0.49181268466982803</v>
      </c>
    </row>
    <row r="937" spans="14:35" x14ac:dyDescent="0.25">
      <c r="N937" t="s">
        <v>959</v>
      </c>
      <c r="O937" s="1">
        <v>46149.125</v>
      </c>
      <c r="P937" t="s">
        <v>737</v>
      </c>
      <c r="Q937" t="s">
        <v>23</v>
      </c>
      <c r="R937" t="s">
        <v>32</v>
      </c>
      <c r="S937">
        <v>92</v>
      </c>
      <c r="T937" t="s">
        <v>738</v>
      </c>
      <c r="U937">
        <v>450</v>
      </c>
      <c r="V937">
        <v>180</v>
      </c>
      <c r="W937">
        <v>3.5</v>
      </c>
      <c r="X937" t="s">
        <v>26</v>
      </c>
      <c r="Y937">
        <v>4.5</v>
      </c>
      <c r="Z937">
        <v>0.05</v>
      </c>
      <c r="AA937">
        <v>0.05</v>
      </c>
      <c r="AB937">
        <v>41400</v>
      </c>
      <c r="AC937">
        <v>39330</v>
      </c>
      <c r="AD937">
        <v>322</v>
      </c>
      <c r="AE937">
        <v>1966.5</v>
      </c>
      <c r="AF937">
        <v>1966</v>
      </c>
      <c r="AG937">
        <v>16560</v>
      </c>
      <c r="AH937">
        <v>18837.5</v>
      </c>
      <c r="AI937" s="5">
        <v>0.47896008136282697</v>
      </c>
    </row>
    <row r="938" spans="14:35" x14ac:dyDescent="0.25">
      <c r="N938" t="s">
        <v>960</v>
      </c>
      <c r="O938" s="1">
        <v>46149.166666666664</v>
      </c>
      <c r="P938" t="s">
        <v>737</v>
      </c>
      <c r="Q938" t="s">
        <v>23</v>
      </c>
      <c r="R938" t="s">
        <v>32</v>
      </c>
      <c r="S938">
        <v>56</v>
      </c>
      <c r="T938" t="s">
        <v>738</v>
      </c>
      <c r="U938">
        <v>450</v>
      </c>
      <c r="V938">
        <v>180</v>
      </c>
      <c r="W938">
        <v>3.5</v>
      </c>
      <c r="X938" t="s">
        <v>26</v>
      </c>
      <c r="Y938">
        <v>4.5</v>
      </c>
      <c r="Z938">
        <v>0.05</v>
      </c>
      <c r="AA938">
        <v>0.05</v>
      </c>
      <c r="AB938">
        <v>25200</v>
      </c>
      <c r="AC938">
        <v>23940</v>
      </c>
      <c r="AD938">
        <v>196</v>
      </c>
      <c r="AE938">
        <v>1197</v>
      </c>
      <c r="AF938">
        <v>1197</v>
      </c>
      <c r="AG938">
        <v>10080</v>
      </c>
      <c r="AH938">
        <v>11466</v>
      </c>
      <c r="AI938" s="5">
        <v>0.47894736842105301</v>
      </c>
    </row>
    <row r="939" spans="14:35" x14ac:dyDescent="0.25">
      <c r="N939" t="s">
        <v>961</v>
      </c>
      <c r="O939" s="1">
        <v>46149.208333333336</v>
      </c>
      <c r="P939" t="s">
        <v>737</v>
      </c>
      <c r="Q939" t="s">
        <v>23</v>
      </c>
      <c r="R939" t="s">
        <v>32</v>
      </c>
      <c r="S939">
        <v>172</v>
      </c>
      <c r="T939" t="s">
        <v>738</v>
      </c>
      <c r="U939">
        <v>450</v>
      </c>
      <c r="V939">
        <v>180</v>
      </c>
      <c r="W939">
        <v>3.5</v>
      </c>
      <c r="X939" t="s">
        <v>26</v>
      </c>
      <c r="Y939">
        <v>4.5</v>
      </c>
      <c r="Z939">
        <v>0.05</v>
      </c>
      <c r="AA939">
        <v>0.05</v>
      </c>
      <c r="AB939">
        <v>77400</v>
      </c>
      <c r="AC939">
        <v>73530</v>
      </c>
      <c r="AD939">
        <v>602</v>
      </c>
      <c r="AE939">
        <v>3676.5</v>
      </c>
      <c r="AF939">
        <v>3676</v>
      </c>
      <c r="AG939">
        <v>30960</v>
      </c>
      <c r="AH939">
        <v>35217.5</v>
      </c>
      <c r="AI939" s="5">
        <v>0.478954168366653</v>
      </c>
    </row>
    <row r="940" spans="14:35" x14ac:dyDescent="0.25">
      <c r="N940" t="s">
        <v>962</v>
      </c>
      <c r="O940" s="1">
        <v>46149.75</v>
      </c>
      <c r="P940" t="s">
        <v>737</v>
      </c>
      <c r="Q940" t="s">
        <v>23</v>
      </c>
      <c r="R940" t="s">
        <v>32</v>
      </c>
      <c r="S940">
        <v>129</v>
      </c>
      <c r="T940" t="s">
        <v>738</v>
      </c>
      <c r="U940">
        <v>450</v>
      </c>
      <c r="V940">
        <v>180</v>
      </c>
      <c r="W940">
        <v>3.5</v>
      </c>
      <c r="X940" t="s">
        <v>26</v>
      </c>
      <c r="Y940">
        <v>4.5</v>
      </c>
      <c r="Z940">
        <v>0.05</v>
      </c>
      <c r="AA940">
        <v>0.05</v>
      </c>
      <c r="AB940">
        <v>58050</v>
      </c>
      <c r="AC940">
        <v>55148</v>
      </c>
      <c r="AD940">
        <v>451.5</v>
      </c>
      <c r="AE940">
        <v>2757.4</v>
      </c>
      <c r="AF940">
        <v>2757</v>
      </c>
      <c r="AG940">
        <v>23220</v>
      </c>
      <c r="AH940">
        <v>26413.599999999999</v>
      </c>
      <c r="AI940" s="5">
        <v>0.47895843910930602</v>
      </c>
    </row>
    <row r="941" spans="14:35" x14ac:dyDescent="0.25">
      <c r="N941" t="s">
        <v>963</v>
      </c>
      <c r="O941" s="1">
        <v>46150.5</v>
      </c>
      <c r="P941" t="s">
        <v>737</v>
      </c>
      <c r="Q941" t="s">
        <v>23</v>
      </c>
      <c r="R941" t="s">
        <v>32</v>
      </c>
      <c r="S941">
        <v>81</v>
      </c>
      <c r="T941" t="s">
        <v>738</v>
      </c>
      <c r="U941">
        <v>450</v>
      </c>
      <c r="V941">
        <v>180</v>
      </c>
      <c r="W941">
        <v>3.5</v>
      </c>
      <c r="X941" t="s">
        <v>26</v>
      </c>
      <c r="Y941">
        <v>4.5</v>
      </c>
      <c r="Z941">
        <v>0.05</v>
      </c>
      <c r="AA941">
        <v>0.05</v>
      </c>
      <c r="AB941">
        <v>36450</v>
      </c>
      <c r="AC941">
        <v>34628</v>
      </c>
      <c r="AD941">
        <v>283.5</v>
      </c>
      <c r="AE941">
        <v>1731.4</v>
      </c>
      <c r="AF941">
        <v>1731</v>
      </c>
      <c r="AG941">
        <v>14580</v>
      </c>
      <c r="AH941">
        <v>16585.599999999999</v>
      </c>
      <c r="AI941" s="5">
        <v>0.47896499942243298</v>
      </c>
    </row>
    <row r="942" spans="14:35" x14ac:dyDescent="0.25">
      <c r="N942" t="s">
        <v>964</v>
      </c>
      <c r="O942" s="1">
        <v>46150.958333333336</v>
      </c>
      <c r="P942" t="s">
        <v>737</v>
      </c>
      <c r="Q942" t="s">
        <v>23</v>
      </c>
      <c r="R942" t="s">
        <v>24</v>
      </c>
      <c r="S942">
        <v>63</v>
      </c>
      <c r="T942" t="s">
        <v>738</v>
      </c>
      <c r="U942">
        <v>450</v>
      </c>
      <c r="V942">
        <v>180</v>
      </c>
      <c r="W942">
        <v>3.5</v>
      </c>
      <c r="X942" t="s">
        <v>26</v>
      </c>
      <c r="Y942">
        <v>4.5</v>
      </c>
      <c r="Z942">
        <v>0.05</v>
      </c>
      <c r="AA942">
        <v>0.02</v>
      </c>
      <c r="AB942">
        <v>28350</v>
      </c>
      <c r="AC942">
        <v>27783</v>
      </c>
      <c r="AD942">
        <v>220.5</v>
      </c>
      <c r="AE942">
        <v>1389.15</v>
      </c>
      <c r="AF942">
        <v>1389</v>
      </c>
      <c r="AG942">
        <v>11340</v>
      </c>
      <c r="AH942">
        <v>13664.85</v>
      </c>
      <c r="AI942" s="5">
        <v>0.49184213367886798</v>
      </c>
    </row>
    <row r="943" spans="14:35" x14ac:dyDescent="0.25">
      <c r="N943" t="s">
        <v>965</v>
      </c>
      <c r="O943" s="1">
        <v>46151.375</v>
      </c>
      <c r="P943" t="s">
        <v>737</v>
      </c>
      <c r="Q943" t="s">
        <v>23</v>
      </c>
      <c r="R943" t="s">
        <v>29</v>
      </c>
      <c r="S943">
        <v>23</v>
      </c>
      <c r="T943" t="s">
        <v>738</v>
      </c>
      <c r="U943">
        <v>450</v>
      </c>
      <c r="V943">
        <v>180</v>
      </c>
      <c r="W943">
        <v>3.5</v>
      </c>
      <c r="X943" t="s">
        <v>26</v>
      </c>
      <c r="Y943">
        <v>4.5</v>
      </c>
      <c r="Z943">
        <v>0.05</v>
      </c>
      <c r="AA943">
        <v>0.1</v>
      </c>
      <c r="AB943">
        <v>10350</v>
      </c>
      <c r="AC943">
        <v>9315</v>
      </c>
      <c r="AD943">
        <v>80.5</v>
      </c>
      <c r="AE943">
        <v>465.75</v>
      </c>
      <c r="AF943">
        <v>466</v>
      </c>
      <c r="AG943">
        <v>4140</v>
      </c>
      <c r="AH943">
        <v>4243.25</v>
      </c>
      <c r="AI943" s="5">
        <v>0.45552871712291998</v>
      </c>
    </row>
    <row r="944" spans="14:35" x14ac:dyDescent="0.25">
      <c r="N944" t="s">
        <v>966</v>
      </c>
      <c r="O944" s="1">
        <v>46151.875</v>
      </c>
      <c r="P944" t="s">
        <v>737</v>
      </c>
      <c r="Q944" t="s">
        <v>23</v>
      </c>
      <c r="R944" t="s">
        <v>24</v>
      </c>
      <c r="S944">
        <v>134</v>
      </c>
      <c r="T944" t="s">
        <v>738</v>
      </c>
      <c r="U944">
        <v>450</v>
      </c>
      <c r="V944">
        <v>180</v>
      </c>
      <c r="W944">
        <v>3.5</v>
      </c>
      <c r="X944" t="s">
        <v>26</v>
      </c>
      <c r="Y944">
        <v>4.5</v>
      </c>
      <c r="Z944">
        <v>0.05</v>
      </c>
      <c r="AA944">
        <v>0.02</v>
      </c>
      <c r="AB944">
        <v>60300</v>
      </c>
      <c r="AC944">
        <v>59094</v>
      </c>
      <c r="AD944">
        <v>469</v>
      </c>
      <c r="AE944">
        <v>2954.7000000000003</v>
      </c>
      <c r="AF944">
        <v>2955</v>
      </c>
      <c r="AG944">
        <v>24120</v>
      </c>
      <c r="AH944">
        <v>29064.3</v>
      </c>
      <c r="AI944" s="5">
        <v>0.49183165803634898</v>
      </c>
    </row>
    <row r="945" spans="14:35" x14ac:dyDescent="0.25">
      <c r="N945" t="s">
        <v>967</v>
      </c>
      <c r="O945" s="1">
        <v>46151.916666666664</v>
      </c>
      <c r="P945" t="s">
        <v>737</v>
      </c>
      <c r="Q945" t="s">
        <v>23</v>
      </c>
      <c r="R945" t="s">
        <v>29</v>
      </c>
      <c r="S945">
        <v>76</v>
      </c>
      <c r="T945" t="s">
        <v>738</v>
      </c>
      <c r="U945">
        <v>450</v>
      </c>
      <c r="V945">
        <v>180</v>
      </c>
      <c r="W945">
        <v>3.5</v>
      </c>
      <c r="X945" t="s">
        <v>26</v>
      </c>
      <c r="Y945">
        <v>4.5</v>
      </c>
      <c r="Z945">
        <v>0.05</v>
      </c>
      <c r="AA945">
        <v>0.1</v>
      </c>
      <c r="AB945">
        <v>34200</v>
      </c>
      <c r="AC945">
        <v>30780</v>
      </c>
      <c r="AD945">
        <v>266</v>
      </c>
      <c r="AE945">
        <v>1539</v>
      </c>
      <c r="AF945">
        <v>1539</v>
      </c>
      <c r="AG945">
        <v>13680</v>
      </c>
      <c r="AH945">
        <v>14022</v>
      </c>
      <c r="AI945" s="5">
        <v>0.45555555555555599</v>
      </c>
    </row>
    <row r="946" spans="14:35" x14ac:dyDescent="0.25">
      <c r="N946" t="s">
        <v>968</v>
      </c>
      <c r="O946" s="1">
        <v>46153.5</v>
      </c>
      <c r="P946" t="s">
        <v>737</v>
      </c>
      <c r="Q946" t="s">
        <v>23</v>
      </c>
      <c r="R946" t="s">
        <v>32</v>
      </c>
      <c r="S946">
        <v>171</v>
      </c>
      <c r="T946" t="s">
        <v>738</v>
      </c>
      <c r="U946">
        <v>450</v>
      </c>
      <c r="V946">
        <v>180</v>
      </c>
      <c r="W946">
        <v>3.5</v>
      </c>
      <c r="X946" t="s">
        <v>26</v>
      </c>
      <c r="Y946">
        <v>4.5</v>
      </c>
      <c r="Z946">
        <v>0.05</v>
      </c>
      <c r="AA946">
        <v>0.05</v>
      </c>
      <c r="AB946">
        <v>76950</v>
      </c>
      <c r="AC946">
        <v>73102</v>
      </c>
      <c r="AD946">
        <v>598.5</v>
      </c>
      <c r="AE946">
        <v>3655.1000000000004</v>
      </c>
      <c r="AF946">
        <v>3655</v>
      </c>
      <c r="AG946">
        <v>30780</v>
      </c>
      <c r="AH946">
        <v>35011.9</v>
      </c>
      <c r="AI946" s="5">
        <v>0.47894585647451499</v>
      </c>
    </row>
    <row r="947" spans="14:35" x14ac:dyDescent="0.25">
      <c r="N947" t="s">
        <v>969</v>
      </c>
      <c r="O947" s="1">
        <v>46153.625</v>
      </c>
      <c r="P947" t="s">
        <v>737</v>
      </c>
      <c r="Q947" t="s">
        <v>23</v>
      </c>
      <c r="R947" t="s">
        <v>24</v>
      </c>
      <c r="S947">
        <v>83</v>
      </c>
      <c r="T947" t="s">
        <v>738</v>
      </c>
      <c r="U947">
        <v>450</v>
      </c>
      <c r="V947">
        <v>180</v>
      </c>
      <c r="W947">
        <v>3.5</v>
      </c>
      <c r="X947" t="s">
        <v>26</v>
      </c>
      <c r="Y947">
        <v>4.5</v>
      </c>
      <c r="Z947">
        <v>0.05</v>
      </c>
      <c r="AA947">
        <v>0.02</v>
      </c>
      <c r="AB947">
        <v>37350</v>
      </c>
      <c r="AC947">
        <v>36603</v>
      </c>
      <c r="AD947">
        <v>290.5</v>
      </c>
      <c r="AE947">
        <v>1830.15</v>
      </c>
      <c r="AF947">
        <v>1830</v>
      </c>
      <c r="AG947">
        <v>14940</v>
      </c>
      <c r="AH947">
        <v>18002.849999999999</v>
      </c>
      <c r="AI947" s="5">
        <v>0.49184083271862999</v>
      </c>
    </row>
    <row r="948" spans="14:35" x14ac:dyDescent="0.25">
      <c r="N948" t="s">
        <v>970</v>
      </c>
      <c r="O948" s="1">
        <v>46153.666666666664</v>
      </c>
      <c r="P948" t="s">
        <v>737</v>
      </c>
      <c r="Q948" t="s">
        <v>23</v>
      </c>
      <c r="R948" t="s">
        <v>24</v>
      </c>
      <c r="S948">
        <v>116</v>
      </c>
      <c r="T948" t="s">
        <v>738</v>
      </c>
      <c r="U948">
        <v>450</v>
      </c>
      <c r="V948">
        <v>180</v>
      </c>
      <c r="W948">
        <v>3.5</v>
      </c>
      <c r="X948" t="s">
        <v>26</v>
      </c>
      <c r="Y948">
        <v>4.5</v>
      </c>
      <c r="Z948">
        <v>0.05</v>
      </c>
      <c r="AA948">
        <v>0.02</v>
      </c>
      <c r="AB948">
        <v>52200</v>
      </c>
      <c r="AC948">
        <v>51156</v>
      </c>
      <c r="AD948">
        <v>406</v>
      </c>
      <c r="AE948">
        <v>2557.8000000000002</v>
      </c>
      <c r="AF948">
        <v>2558</v>
      </c>
      <c r="AG948">
        <v>20880</v>
      </c>
      <c r="AH948">
        <v>25160.2</v>
      </c>
      <c r="AI948" s="5">
        <v>0.49183282508405701</v>
      </c>
    </row>
    <row r="949" spans="14:35" x14ac:dyDescent="0.25">
      <c r="N949" t="s">
        <v>971</v>
      </c>
      <c r="O949" s="1">
        <v>46153.916666666664</v>
      </c>
      <c r="P949" t="s">
        <v>737</v>
      </c>
      <c r="Q949" t="s">
        <v>23</v>
      </c>
      <c r="R949" t="s">
        <v>32</v>
      </c>
      <c r="S949">
        <v>159</v>
      </c>
      <c r="T949" t="s">
        <v>738</v>
      </c>
      <c r="U949">
        <v>450</v>
      </c>
      <c r="V949">
        <v>180</v>
      </c>
      <c r="W949">
        <v>3.5</v>
      </c>
      <c r="X949" t="s">
        <v>26</v>
      </c>
      <c r="Y949">
        <v>4.5</v>
      </c>
      <c r="Z949">
        <v>0.05</v>
      </c>
      <c r="AA949">
        <v>0.05</v>
      </c>
      <c r="AB949">
        <v>71550</v>
      </c>
      <c r="AC949">
        <v>67972</v>
      </c>
      <c r="AD949">
        <v>556.5</v>
      </c>
      <c r="AE949">
        <v>3398.6000000000004</v>
      </c>
      <c r="AF949">
        <v>3399</v>
      </c>
      <c r="AG949">
        <v>28620</v>
      </c>
      <c r="AH949">
        <v>32554.400000000001</v>
      </c>
      <c r="AI949" s="5">
        <v>0.47893838639439801</v>
      </c>
    </row>
    <row r="950" spans="14:35" x14ac:dyDescent="0.25">
      <c r="N950" t="s">
        <v>972</v>
      </c>
      <c r="O950" s="1">
        <v>46153.958333333336</v>
      </c>
      <c r="P950" t="s">
        <v>737</v>
      </c>
      <c r="Q950" t="s">
        <v>23</v>
      </c>
      <c r="R950" t="s">
        <v>29</v>
      </c>
      <c r="S950">
        <v>88</v>
      </c>
      <c r="T950" t="s">
        <v>738</v>
      </c>
      <c r="U950">
        <v>450</v>
      </c>
      <c r="V950">
        <v>180</v>
      </c>
      <c r="W950">
        <v>3.5</v>
      </c>
      <c r="X950" t="s">
        <v>26</v>
      </c>
      <c r="Y950">
        <v>4.5</v>
      </c>
      <c r="Z950">
        <v>0.05</v>
      </c>
      <c r="AA950">
        <v>0.1</v>
      </c>
      <c r="AB950">
        <v>39600</v>
      </c>
      <c r="AC950">
        <v>35640</v>
      </c>
      <c r="AD950">
        <v>308</v>
      </c>
      <c r="AE950">
        <v>1782</v>
      </c>
      <c r="AF950">
        <v>1782</v>
      </c>
      <c r="AG950">
        <v>15840</v>
      </c>
      <c r="AH950">
        <v>16236</v>
      </c>
      <c r="AI950" s="5">
        <v>0.45555555555555599</v>
      </c>
    </row>
    <row r="951" spans="14:35" x14ac:dyDescent="0.25">
      <c r="N951" t="s">
        <v>973</v>
      </c>
      <c r="O951" s="1">
        <v>46154.125</v>
      </c>
      <c r="P951" t="s">
        <v>737</v>
      </c>
      <c r="Q951" t="s">
        <v>23</v>
      </c>
      <c r="R951" t="s">
        <v>29</v>
      </c>
      <c r="S951">
        <v>159</v>
      </c>
      <c r="T951" t="s">
        <v>738</v>
      </c>
      <c r="U951">
        <v>450</v>
      </c>
      <c r="V951">
        <v>180</v>
      </c>
      <c r="W951">
        <v>3.5</v>
      </c>
      <c r="X951" t="s">
        <v>26</v>
      </c>
      <c r="Y951">
        <v>4.5</v>
      </c>
      <c r="Z951">
        <v>0.05</v>
      </c>
      <c r="AA951">
        <v>0.1</v>
      </c>
      <c r="AB951">
        <v>71550</v>
      </c>
      <c r="AC951">
        <v>64395</v>
      </c>
      <c r="AD951">
        <v>556.5</v>
      </c>
      <c r="AE951">
        <v>3219.75</v>
      </c>
      <c r="AF951">
        <v>3220</v>
      </c>
      <c r="AG951">
        <v>28620</v>
      </c>
      <c r="AH951">
        <v>29335.25</v>
      </c>
      <c r="AI951" s="5">
        <v>0.45555167326655799</v>
      </c>
    </row>
    <row r="952" spans="14:35" x14ac:dyDescent="0.25">
      <c r="N952" t="s">
        <v>974</v>
      </c>
      <c r="O952" s="1">
        <v>46154.166666666664</v>
      </c>
      <c r="P952" t="s">
        <v>737</v>
      </c>
      <c r="Q952" t="s">
        <v>23</v>
      </c>
      <c r="R952" t="s">
        <v>32</v>
      </c>
      <c r="S952">
        <v>89</v>
      </c>
      <c r="T952" t="s">
        <v>738</v>
      </c>
      <c r="U952">
        <v>450</v>
      </c>
      <c r="V952">
        <v>180</v>
      </c>
      <c r="W952">
        <v>3.5</v>
      </c>
      <c r="X952" t="s">
        <v>26</v>
      </c>
      <c r="Y952">
        <v>4.5</v>
      </c>
      <c r="Z952">
        <v>0.05</v>
      </c>
      <c r="AA952">
        <v>0.05</v>
      </c>
      <c r="AB952">
        <v>40050</v>
      </c>
      <c r="AC952">
        <v>38048</v>
      </c>
      <c r="AD952">
        <v>311.5</v>
      </c>
      <c r="AE952">
        <v>1902.4</v>
      </c>
      <c r="AF952">
        <v>1902</v>
      </c>
      <c r="AG952">
        <v>16020</v>
      </c>
      <c r="AH952">
        <v>18223.599999999999</v>
      </c>
      <c r="AI952" s="5">
        <v>0.47896341463414599</v>
      </c>
    </row>
    <row r="953" spans="14:35" x14ac:dyDescent="0.25">
      <c r="N953" t="s">
        <v>975</v>
      </c>
      <c r="O953" s="1">
        <v>46154.791666666664</v>
      </c>
      <c r="P953" t="s">
        <v>737</v>
      </c>
      <c r="Q953" t="s">
        <v>23</v>
      </c>
      <c r="R953" t="s">
        <v>24</v>
      </c>
      <c r="S953">
        <v>92</v>
      </c>
      <c r="T953" t="s">
        <v>738</v>
      </c>
      <c r="U953">
        <v>450</v>
      </c>
      <c r="V953">
        <v>180</v>
      </c>
      <c r="W953">
        <v>3.5</v>
      </c>
      <c r="X953" t="s">
        <v>26</v>
      </c>
      <c r="Y953">
        <v>4.5</v>
      </c>
      <c r="Z953">
        <v>0.05</v>
      </c>
      <c r="AA953">
        <v>0.02</v>
      </c>
      <c r="AB953">
        <v>41400</v>
      </c>
      <c r="AC953">
        <v>40572</v>
      </c>
      <c r="AD953">
        <v>322</v>
      </c>
      <c r="AE953">
        <v>2028.6000000000001</v>
      </c>
      <c r="AF953">
        <v>2029</v>
      </c>
      <c r="AG953">
        <v>16560</v>
      </c>
      <c r="AH953">
        <v>19954.400000000001</v>
      </c>
      <c r="AI953" s="5">
        <v>0.49182687567780697</v>
      </c>
    </row>
    <row r="954" spans="14:35" x14ac:dyDescent="0.25">
      <c r="N954" t="s">
        <v>976</v>
      </c>
      <c r="O954" s="1">
        <v>46154.916666666664</v>
      </c>
      <c r="P954" t="s">
        <v>737</v>
      </c>
      <c r="Q954" t="s">
        <v>23</v>
      </c>
      <c r="R954" t="s">
        <v>24</v>
      </c>
      <c r="S954">
        <v>117</v>
      </c>
      <c r="T954" t="s">
        <v>738</v>
      </c>
      <c r="U954">
        <v>450</v>
      </c>
      <c r="V954">
        <v>180</v>
      </c>
      <c r="W954">
        <v>3.5</v>
      </c>
      <c r="X954" t="s">
        <v>26</v>
      </c>
      <c r="Y954">
        <v>4.5</v>
      </c>
      <c r="Z954">
        <v>0.05</v>
      </c>
      <c r="AA954">
        <v>0.02</v>
      </c>
      <c r="AB954">
        <v>52650</v>
      </c>
      <c r="AC954">
        <v>51597</v>
      </c>
      <c r="AD954">
        <v>409.5</v>
      </c>
      <c r="AE954">
        <v>2579.8500000000004</v>
      </c>
      <c r="AF954">
        <v>2580</v>
      </c>
      <c r="AG954">
        <v>21060</v>
      </c>
      <c r="AH954">
        <v>25377.15</v>
      </c>
      <c r="AI954" s="5">
        <v>0.491833827548113</v>
      </c>
    </row>
    <row r="955" spans="14:35" x14ac:dyDescent="0.25">
      <c r="N955" t="s">
        <v>977</v>
      </c>
      <c r="O955" s="1">
        <v>46155.166666666664</v>
      </c>
      <c r="P955" t="s">
        <v>737</v>
      </c>
      <c r="Q955" t="s">
        <v>23</v>
      </c>
      <c r="R955" t="s">
        <v>29</v>
      </c>
      <c r="S955">
        <v>57</v>
      </c>
      <c r="T955" t="s">
        <v>738</v>
      </c>
      <c r="U955">
        <v>450</v>
      </c>
      <c r="V955">
        <v>180</v>
      </c>
      <c r="W955">
        <v>3.5</v>
      </c>
      <c r="X955" t="s">
        <v>26</v>
      </c>
      <c r="Y955">
        <v>4.5</v>
      </c>
      <c r="Z955">
        <v>0.05</v>
      </c>
      <c r="AA955">
        <v>0.1</v>
      </c>
      <c r="AB955">
        <v>25650</v>
      </c>
      <c r="AC955">
        <v>23085</v>
      </c>
      <c r="AD955">
        <v>199.5</v>
      </c>
      <c r="AE955">
        <v>1154.25</v>
      </c>
      <c r="AF955">
        <v>1154</v>
      </c>
      <c r="AG955">
        <v>10260</v>
      </c>
      <c r="AH955">
        <v>10516.75</v>
      </c>
      <c r="AI955" s="5">
        <v>0.45556638509854902</v>
      </c>
    </row>
    <row r="956" spans="14:35" x14ac:dyDescent="0.25">
      <c r="N956" t="s">
        <v>978</v>
      </c>
      <c r="O956" s="1">
        <v>46156.291666666664</v>
      </c>
      <c r="P956" t="s">
        <v>737</v>
      </c>
      <c r="Q956" t="s">
        <v>23</v>
      </c>
      <c r="R956" t="s">
        <v>24</v>
      </c>
      <c r="S956">
        <v>191</v>
      </c>
      <c r="T956" t="s">
        <v>738</v>
      </c>
      <c r="U956">
        <v>450</v>
      </c>
      <c r="V956">
        <v>180</v>
      </c>
      <c r="W956">
        <v>3.5</v>
      </c>
      <c r="X956" t="s">
        <v>26</v>
      </c>
      <c r="Y956">
        <v>4.5</v>
      </c>
      <c r="Z956">
        <v>0.05</v>
      </c>
      <c r="AA956">
        <v>0.02</v>
      </c>
      <c r="AB956">
        <v>85950</v>
      </c>
      <c r="AC956">
        <v>84231</v>
      </c>
      <c r="AD956">
        <v>668.5</v>
      </c>
      <c r="AE956">
        <v>4211.55</v>
      </c>
      <c r="AF956">
        <v>4212</v>
      </c>
      <c r="AG956">
        <v>34380</v>
      </c>
      <c r="AH956">
        <v>41427.449999999997</v>
      </c>
      <c r="AI956" s="5">
        <v>0.49183139224276101</v>
      </c>
    </row>
    <row r="957" spans="14:35" x14ac:dyDescent="0.25">
      <c r="N957" t="s">
        <v>979</v>
      </c>
      <c r="O957" s="1">
        <v>46156.541666666664</v>
      </c>
      <c r="P957" t="s">
        <v>737</v>
      </c>
      <c r="Q957" t="s">
        <v>23</v>
      </c>
      <c r="R957" t="s">
        <v>32</v>
      </c>
      <c r="S957">
        <v>17</v>
      </c>
      <c r="T957" t="s">
        <v>738</v>
      </c>
      <c r="U957">
        <v>450</v>
      </c>
      <c r="V957">
        <v>180</v>
      </c>
      <c r="W957">
        <v>3.5</v>
      </c>
      <c r="X957" t="s">
        <v>26</v>
      </c>
      <c r="Y957">
        <v>4.5</v>
      </c>
      <c r="Z957">
        <v>0.05</v>
      </c>
      <c r="AA957">
        <v>0.05</v>
      </c>
      <c r="AB957">
        <v>7650</v>
      </c>
      <c r="AC957">
        <v>7268</v>
      </c>
      <c r="AD957">
        <v>59.5</v>
      </c>
      <c r="AE957">
        <v>363.40000000000003</v>
      </c>
      <c r="AF957">
        <v>363</v>
      </c>
      <c r="AG957">
        <v>3060</v>
      </c>
      <c r="AH957">
        <v>3481.6</v>
      </c>
      <c r="AI957" s="5">
        <v>0.479031370390754</v>
      </c>
    </row>
    <row r="958" spans="14:35" x14ac:dyDescent="0.25">
      <c r="N958" t="s">
        <v>980</v>
      </c>
      <c r="O958" s="1">
        <v>46156.708333333336</v>
      </c>
      <c r="P958" t="s">
        <v>737</v>
      </c>
      <c r="Q958" t="s">
        <v>23</v>
      </c>
      <c r="R958" t="s">
        <v>32</v>
      </c>
      <c r="S958">
        <v>178</v>
      </c>
      <c r="T958" t="s">
        <v>738</v>
      </c>
      <c r="U958">
        <v>450</v>
      </c>
      <c r="V958">
        <v>180</v>
      </c>
      <c r="W958">
        <v>3.5</v>
      </c>
      <c r="X958" t="s">
        <v>26</v>
      </c>
      <c r="Y958">
        <v>4.5</v>
      </c>
      <c r="Z958">
        <v>0.05</v>
      </c>
      <c r="AA958">
        <v>0.05</v>
      </c>
      <c r="AB958">
        <v>80100</v>
      </c>
      <c r="AC958">
        <v>76095</v>
      </c>
      <c r="AD958">
        <v>623</v>
      </c>
      <c r="AE958">
        <v>3804.75</v>
      </c>
      <c r="AF958">
        <v>3805</v>
      </c>
      <c r="AG958">
        <v>32040</v>
      </c>
      <c r="AH958">
        <v>36445.25</v>
      </c>
      <c r="AI958" s="5">
        <v>0.47894408305407699</v>
      </c>
    </row>
    <row r="959" spans="14:35" x14ac:dyDescent="0.25">
      <c r="N959" t="s">
        <v>981</v>
      </c>
      <c r="O959" s="1">
        <v>46156.833333333336</v>
      </c>
      <c r="P959" t="s">
        <v>737</v>
      </c>
      <c r="Q959" t="s">
        <v>23</v>
      </c>
      <c r="R959" t="s">
        <v>32</v>
      </c>
      <c r="S959">
        <v>164</v>
      </c>
      <c r="T959" t="s">
        <v>738</v>
      </c>
      <c r="U959">
        <v>450</v>
      </c>
      <c r="V959">
        <v>180</v>
      </c>
      <c r="W959">
        <v>3.5</v>
      </c>
      <c r="X959" t="s">
        <v>26</v>
      </c>
      <c r="Y959">
        <v>4.5</v>
      </c>
      <c r="Z959">
        <v>0.05</v>
      </c>
      <c r="AA959">
        <v>0.05</v>
      </c>
      <c r="AB959">
        <v>73800</v>
      </c>
      <c r="AC959">
        <v>70110</v>
      </c>
      <c r="AD959">
        <v>574</v>
      </c>
      <c r="AE959">
        <v>3505.5</v>
      </c>
      <c r="AF959">
        <v>3506</v>
      </c>
      <c r="AG959">
        <v>29520</v>
      </c>
      <c r="AH959">
        <v>33578.5</v>
      </c>
      <c r="AI959" s="5">
        <v>0.47894023677078901</v>
      </c>
    </row>
    <row r="960" spans="14:35" x14ac:dyDescent="0.25">
      <c r="N960" t="s">
        <v>982</v>
      </c>
      <c r="O960" s="1">
        <v>46156.958333333336</v>
      </c>
      <c r="P960" t="s">
        <v>737</v>
      </c>
      <c r="Q960" t="s">
        <v>23</v>
      </c>
      <c r="R960" t="s">
        <v>29</v>
      </c>
      <c r="S960">
        <v>155</v>
      </c>
      <c r="T960" t="s">
        <v>738</v>
      </c>
      <c r="U960">
        <v>450</v>
      </c>
      <c r="V960">
        <v>180</v>
      </c>
      <c r="W960">
        <v>3.5</v>
      </c>
      <c r="X960" t="s">
        <v>26</v>
      </c>
      <c r="Y960">
        <v>4.5</v>
      </c>
      <c r="Z960">
        <v>0.05</v>
      </c>
      <c r="AA960">
        <v>0.1</v>
      </c>
      <c r="AB960">
        <v>69750</v>
      </c>
      <c r="AC960">
        <v>62775</v>
      </c>
      <c r="AD960">
        <v>542.5</v>
      </c>
      <c r="AE960">
        <v>3138.75</v>
      </c>
      <c r="AF960">
        <v>3139</v>
      </c>
      <c r="AG960">
        <v>27900</v>
      </c>
      <c r="AH960">
        <v>28597.25</v>
      </c>
      <c r="AI960" s="5">
        <v>0.45555157307845501</v>
      </c>
    </row>
    <row r="961" spans="14:35" x14ac:dyDescent="0.25">
      <c r="N961" t="s">
        <v>983</v>
      </c>
      <c r="O961" s="1">
        <v>46158.833333333336</v>
      </c>
      <c r="P961" t="s">
        <v>737</v>
      </c>
      <c r="Q961" t="s">
        <v>23</v>
      </c>
      <c r="R961" t="s">
        <v>32</v>
      </c>
      <c r="S961">
        <v>137</v>
      </c>
      <c r="T961" t="s">
        <v>738</v>
      </c>
      <c r="U961">
        <v>450</v>
      </c>
      <c r="V961">
        <v>180</v>
      </c>
      <c r="W961">
        <v>3.5</v>
      </c>
      <c r="X961" t="s">
        <v>26</v>
      </c>
      <c r="Y961">
        <v>4.5</v>
      </c>
      <c r="Z961">
        <v>0.05</v>
      </c>
      <c r="AA961">
        <v>0.05</v>
      </c>
      <c r="AB961">
        <v>61650</v>
      </c>
      <c r="AC961">
        <v>58568</v>
      </c>
      <c r="AD961">
        <v>479.5</v>
      </c>
      <c r="AE961">
        <v>2928.4</v>
      </c>
      <c r="AF961">
        <v>2928</v>
      </c>
      <c r="AG961">
        <v>24660</v>
      </c>
      <c r="AH961">
        <v>28051.599999999999</v>
      </c>
      <c r="AI961" s="5">
        <v>0.47895779265127703</v>
      </c>
    </row>
    <row r="962" spans="14:35" x14ac:dyDescent="0.25">
      <c r="N962" t="s">
        <v>984</v>
      </c>
      <c r="O962" s="1">
        <v>46159.5</v>
      </c>
      <c r="P962" t="s">
        <v>737</v>
      </c>
      <c r="Q962" t="s">
        <v>23</v>
      </c>
      <c r="R962" t="s">
        <v>29</v>
      </c>
      <c r="S962">
        <v>85</v>
      </c>
      <c r="T962" t="s">
        <v>738</v>
      </c>
      <c r="U962">
        <v>450</v>
      </c>
      <c r="V962">
        <v>180</v>
      </c>
      <c r="W962">
        <v>3.5</v>
      </c>
      <c r="X962" t="s">
        <v>26</v>
      </c>
      <c r="Y962">
        <v>4.5</v>
      </c>
      <c r="Z962">
        <v>0.05</v>
      </c>
      <c r="AA962">
        <v>0.1</v>
      </c>
      <c r="AB962">
        <v>38250</v>
      </c>
      <c r="AC962">
        <v>34425</v>
      </c>
      <c r="AD962">
        <v>297.5</v>
      </c>
      <c r="AE962">
        <v>1721.25</v>
      </c>
      <c r="AF962">
        <v>1721</v>
      </c>
      <c r="AG962">
        <v>15300</v>
      </c>
      <c r="AH962">
        <v>15682.75</v>
      </c>
      <c r="AI962" s="5">
        <v>0.45556281771967999</v>
      </c>
    </row>
    <row r="963" spans="14:35" x14ac:dyDescent="0.25">
      <c r="N963" t="s">
        <v>985</v>
      </c>
      <c r="O963" s="1">
        <v>46160.041666666664</v>
      </c>
      <c r="P963" t="s">
        <v>737</v>
      </c>
      <c r="Q963" t="s">
        <v>23</v>
      </c>
      <c r="R963" t="s">
        <v>32</v>
      </c>
      <c r="S963">
        <v>143</v>
      </c>
      <c r="T963" t="s">
        <v>738</v>
      </c>
      <c r="U963">
        <v>450</v>
      </c>
      <c r="V963">
        <v>180</v>
      </c>
      <c r="W963">
        <v>3.5</v>
      </c>
      <c r="X963" t="s">
        <v>26</v>
      </c>
      <c r="Y963">
        <v>4.5</v>
      </c>
      <c r="Z963">
        <v>0.05</v>
      </c>
      <c r="AA963">
        <v>0.05</v>
      </c>
      <c r="AB963">
        <v>64350</v>
      </c>
      <c r="AC963">
        <v>61132</v>
      </c>
      <c r="AD963">
        <v>500.5</v>
      </c>
      <c r="AE963">
        <v>3056.6000000000004</v>
      </c>
      <c r="AF963">
        <v>3057</v>
      </c>
      <c r="AG963">
        <v>25740</v>
      </c>
      <c r="AH963">
        <v>29278.400000000001</v>
      </c>
      <c r="AI963" s="5">
        <v>0.47893738140417502</v>
      </c>
    </row>
    <row r="964" spans="14:35" x14ac:dyDescent="0.25">
      <c r="N964" t="s">
        <v>986</v>
      </c>
      <c r="O964" s="1">
        <v>46160.125</v>
      </c>
      <c r="P964" t="s">
        <v>737</v>
      </c>
      <c r="Q964" t="s">
        <v>23</v>
      </c>
      <c r="R964" t="s">
        <v>24</v>
      </c>
      <c r="S964">
        <v>55</v>
      </c>
      <c r="T964" t="s">
        <v>738</v>
      </c>
      <c r="U964">
        <v>450</v>
      </c>
      <c r="V964">
        <v>180</v>
      </c>
      <c r="W964">
        <v>3.5</v>
      </c>
      <c r="X964" t="s">
        <v>26</v>
      </c>
      <c r="Y964">
        <v>4.5</v>
      </c>
      <c r="Z964">
        <v>0.05</v>
      </c>
      <c r="AA964">
        <v>0.02</v>
      </c>
      <c r="AB964">
        <v>24750</v>
      </c>
      <c r="AC964">
        <v>24255</v>
      </c>
      <c r="AD964">
        <v>192.5</v>
      </c>
      <c r="AE964">
        <v>1212.75</v>
      </c>
      <c r="AF964">
        <v>1213</v>
      </c>
      <c r="AG964">
        <v>9900</v>
      </c>
      <c r="AH964">
        <v>11929.25</v>
      </c>
      <c r="AI964" s="5">
        <v>0.49182642754071298</v>
      </c>
    </row>
    <row r="965" spans="14:35" x14ac:dyDescent="0.25">
      <c r="N965" t="s">
        <v>987</v>
      </c>
      <c r="O965" s="1">
        <v>46160.208333333336</v>
      </c>
      <c r="P965" t="s">
        <v>737</v>
      </c>
      <c r="Q965" t="s">
        <v>23</v>
      </c>
      <c r="R965" t="s">
        <v>29</v>
      </c>
      <c r="S965">
        <v>120</v>
      </c>
      <c r="T965" t="s">
        <v>738</v>
      </c>
      <c r="U965">
        <v>450</v>
      </c>
      <c r="V965">
        <v>180</v>
      </c>
      <c r="W965">
        <v>3.5</v>
      </c>
      <c r="X965" t="s">
        <v>26</v>
      </c>
      <c r="Y965">
        <v>4.5</v>
      </c>
      <c r="Z965">
        <v>0.05</v>
      </c>
      <c r="AA965">
        <v>0.1</v>
      </c>
      <c r="AB965">
        <v>54000</v>
      </c>
      <c r="AC965">
        <v>48600</v>
      </c>
      <c r="AD965">
        <v>420</v>
      </c>
      <c r="AE965">
        <v>2430</v>
      </c>
      <c r="AF965">
        <v>2430</v>
      </c>
      <c r="AG965">
        <v>21600</v>
      </c>
      <c r="AH965">
        <v>22140</v>
      </c>
      <c r="AI965" s="5">
        <v>0.45555555555555599</v>
      </c>
    </row>
    <row r="966" spans="14:35" x14ac:dyDescent="0.25">
      <c r="N966" t="s">
        <v>988</v>
      </c>
      <c r="O966" s="1">
        <v>46161.166666666664</v>
      </c>
      <c r="P966" t="s">
        <v>737</v>
      </c>
      <c r="Q966" t="s">
        <v>23</v>
      </c>
      <c r="R966" t="s">
        <v>24</v>
      </c>
      <c r="S966">
        <v>112</v>
      </c>
      <c r="T966" t="s">
        <v>738</v>
      </c>
      <c r="U966">
        <v>450</v>
      </c>
      <c r="V966">
        <v>180</v>
      </c>
      <c r="W966">
        <v>3.5</v>
      </c>
      <c r="X966" t="s">
        <v>26</v>
      </c>
      <c r="Y966">
        <v>4.5</v>
      </c>
      <c r="Z966">
        <v>0.05</v>
      </c>
      <c r="AA966">
        <v>0.02</v>
      </c>
      <c r="AB966">
        <v>50400</v>
      </c>
      <c r="AC966">
        <v>49392</v>
      </c>
      <c r="AD966">
        <v>392</v>
      </c>
      <c r="AE966">
        <v>2469.6000000000004</v>
      </c>
      <c r="AF966">
        <v>2470</v>
      </c>
      <c r="AG966">
        <v>20160</v>
      </c>
      <c r="AH966">
        <v>24292.400000000001</v>
      </c>
      <c r="AI966" s="5">
        <v>0.491828636216391</v>
      </c>
    </row>
    <row r="967" spans="14:35" x14ac:dyDescent="0.25">
      <c r="N967" t="s">
        <v>989</v>
      </c>
      <c r="O967" s="1">
        <v>46162.958333333336</v>
      </c>
      <c r="P967" t="s">
        <v>737</v>
      </c>
      <c r="Q967" t="s">
        <v>23</v>
      </c>
      <c r="R967" t="s">
        <v>29</v>
      </c>
      <c r="S967">
        <v>190</v>
      </c>
      <c r="T967" t="s">
        <v>738</v>
      </c>
      <c r="U967">
        <v>450</v>
      </c>
      <c r="V967">
        <v>180</v>
      </c>
      <c r="W967">
        <v>3.5</v>
      </c>
      <c r="X967" t="s">
        <v>26</v>
      </c>
      <c r="Y967">
        <v>4.5</v>
      </c>
      <c r="Z967">
        <v>0.05</v>
      </c>
      <c r="AA967">
        <v>0.1</v>
      </c>
      <c r="AB967">
        <v>85500</v>
      </c>
      <c r="AC967">
        <v>76950</v>
      </c>
      <c r="AD967">
        <v>665</v>
      </c>
      <c r="AE967">
        <v>3847.5</v>
      </c>
      <c r="AF967">
        <v>3848</v>
      </c>
      <c r="AG967">
        <v>34200</v>
      </c>
      <c r="AH967">
        <v>35054.5</v>
      </c>
      <c r="AI967" s="5">
        <v>0.45554905782976002</v>
      </c>
    </row>
    <row r="968" spans="14:35" x14ac:dyDescent="0.25">
      <c r="N968" t="s">
        <v>990</v>
      </c>
      <c r="O968" s="1">
        <v>46163.291666666664</v>
      </c>
      <c r="P968" t="s">
        <v>737</v>
      </c>
      <c r="Q968" t="s">
        <v>23</v>
      </c>
      <c r="R968" t="s">
        <v>32</v>
      </c>
      <c r="S968">
        <v>35</v>
      </c>
      <c r="T968" t="s">
        <v>738</v>
      </c>
      <c r="U968">
        <v>450</v>
      </c>
      <c r="V968">
        <v>180</v>
      </c>
      <c r="W968">
        <v>3.5</v>
      </c>
      <c r="X968" t="s">
        <v>26</v>
      </c>
      <c r="Y968">
        <v>4.5</v>
      </c>
      <c r="Z968">
        <v>0.05</v>
      </c>
      <c r="AA968">
        <v>0.05</v>
      </c>
      <c r="AB968">
        <v>15750</v>
      </c>
      <c r="AC968">
        <v>14962</v>
      </c>
      <c r="AD968">
        <v>122.5</v>
      </c>
      <c r="AE968">
        <v>748.1</v>
      </c>
      <c r="AF968">
        <v>748</v>
      </c>
      <c r="AG968">
        <v>6300</v>
      </c>
      <c r="AH968">
        <v>7165.9</v>
      </c>
      <c r="AI968" s="5">
        <v>0.47893998128592402</v>
      </c>
    </row>
    <row r="969" spans="14:35" x14ac:dyDescent="0.25">
      <c r="N969" t="s">
        <v>991</v>
      </c>
      <c r="O969" s="1">
        <v>46163.333333333336</v>
      </c>
      <c r="P969" t="s">
        <v>737</v>
      </c>
      <c r="Q969" t="s">
        <v>23</v>
      </c>
      <c r="R969" t="s">
        <v>29</v>
      </c>
      <c r="S969">
        <v>142</v>
      </c>
      <c r="T969" t="s">
        <v>738</v>
      </c>
      <c r="U969">
        <v>450</v>
      </c>
      <c r="V969">
        <v>180</v>
      </c>
      <c r="W969">
        <v>3.5</v>
      </c>
      <c r="X969" t="s">
        <v>26</v>
      </c>
      <c r="Y969">
        <v>4.5</v>
      </c>
      <c r="Z969">
        <v>0.05</v>
      </c>
      <c r="AA969">
        <v>0.1</v>
      </c>
      <c r="AB969">
        <v>63900</v>
      </c>
      <c r="AC969">
        <v>57510</v>
      </c>
      <c r="AD969">
        <v>497</v>
      </c>
      <c r="AE969">
        <v>2875.5</v>
      </c>
      <c r="AF969">
        <v>2876</v>
      </c>
      <c r="AG969">
        <v>25560</v>
      </c>
      <c r="AH969">
        <v>26198.5</v>
      </c>
      <c r="AI969" s="5">
        <v>0.45554686141540601</v>
      </c>
    </row>
    <row r="970" spans="14:35" x14ac:dyDescent="0.25">
      <c r="N970" t="s">
        <v>992</v>
      </c>
      <c r="O970" s="1">
        <v>46163.583333333336</v>
      </c>
      <c r="P970" t="s">
        <v>737</v>
      </c>
      <c r="Q970" t="s">
        <v>23</v>
      </c>
      <c r="R970" t="s">
        <v>29</v>
      </c>
      <c r="S970">
        <v>158</v>
      </c>
      <c r="T970" t="s">
        <v>738</v>
      </c>
      <c r="U970">
        <v>450</v>
      </c>
      <c r="V970">
        <v>180</v>
      </c>
      <c r="W970">
        <v>3.5</v>
      </c>
      <c r="X970" t="s">
        <v>26</v>
      </c>
      <c r="Y970">
        <v>4.5</v>
      </c>
      <c r="Z970">
        <v>0.05</v>
      </c>
      <c r="AA970">
        <v>0.1</v>
      </c>
      <c r="AB970">
        <v>71100</v>
      </c>
      <c r="AC970">
        <v>63990</v>
      </c>
      <c r="AD970">
        <v>553</v>
      </c>
      <c r="AE970">
        <v>3199.5</v>
      </c>
      <c r="AF970">
        <v>3200</v>
      </c>
      <c r="AG970">
        <v>28440</v>
      </c>
      <c r="AH970">
        <v>29150.5</v>
      </c>
      <c r="AI970" s="5">
        <v>0.45554774183466201</v>
      </c>
    </row>
    <row r="971" spans="14:35" x14ac:dyDescent="0.25">
      <c r="N971" t="s">
        <v>993</v>
      </c>
      <c r="O971" s="1">
        <v>46164.458333333336</v>
      </c>
      <c r="P971" t="s">
        <v>737</v>
      </c>
      <c r="Q971" t="s">
        <v>23</v>
      </c>
      <c r="R971" t="s">
        <v>32</v>
      </c>
      <c r="S971">
        <v>134</v>
      </c>
      <c r="T971" t="s">
        <v>738</v>
      </c>
      <c r="U971">
        <v>450</v>
      </c>
      <c r="V971">
        <v>180</v>
      </c>
      <c r="W971">
        <v>3.5</v>
      </c>
      <c r="X971" t="s">
        <v>26</v>
      </c>
      <c r="Y971">
        <v>4.5</v>
      </c>
      <c r="Z971">
        <v>0.05</v>
      </c>
      <c r="AA971">
        <v>0.05</v>
      </c>
      <c r="AB971">
        <v>60300</v>
      </c>
      <c r="AC971">
        <v>57285</v>
      </c>
      <c r="AD971">
        <v>469</v>
      </c>
      <c r="AE971">
        <v>2864.25</v>
      </c>
      <c r="AF971">
        <v>2864</v>
      </c>
      <c r="AG971">
        <v>24120</v>
      </c>
      <c r="AH971">
        <v>27436.75</v>
      </c>
      <c r="AI971" s="5">
        <v>0.47895173256524398</v>
      </c>
    </row>
    <row r="972" spans="14:35" x14ac:dyDescent="0.25">
      <c r="N972" t="s">
        <v>994</v>
      </c>
      <c r="O972" s="1">
        <v>46164.625</v>
      </c>
      <c r="P972" t="s">
        <v>737</v>
      </c>
      <c r="Q972" t="s">
        <v>23</v>
      </c>
      <c r="R972" t="s">
        <v>29</v>
      </c>
      <c r="S972">
        <v>107</v>
      </c>
      <c r="T972" t="s">
        <v>738</v>
      </c>
      <c r="U972">
        <v>450</v>
      </c>
      <c r="V972">
        <v>180</v>
      </c>
      <c r="W972">
        <v>3.5</v>
      </c>
      <c r="X972" t="s">
        <v>26</v>
      </c>
      <c r="Y972">
        <v>4.5</v>
      </c>
      <c r="Z972">
        <v>0.05</v>
      </c>
      <c r="AA972">
        <v>0.1</v>
      </c>
      <c r="AB972">
        <v>48150</v>
      </c>
      <c r="AC972">
        <v>43335</v>
      </c>
      <c r="AD972">
        <v>374.5</v>
      </c>
      <c r="AE972">
        <v>2166.75</v>
      </c>
      <c r="AF972">
        <v>2167</v>
      </c>
      <c r="AG972">
        <v>19260</v>
      </c>
      <c r="AH972">
        <v>19741.25</v>
      </c>
      <c r="AI972" s="5">
        <v>0.455549786546671</v>
      </c>
    </row>
    <row r="973" spans="14:35" x14ac:dyDescent="0.25">
      <c r="N973" t="s">
        <v>995</v>
      </c>
      <c r="O973" s="1">
        <v>46164.875</v>
      </c>
      <c r="P973" t="s">
        <v>737</v>
      </c>
      <c r="Q973" t="s">
        <v>23</v>
      </c>
      <c r="R973" t="s">
        <v>32</v>
      </c>
      <c r="S973">
        <v>139</v>
      </c>
      <c r="T973" t="s">
        <v>738</v>
      </c>
      <c r="U973">
        <v>450</v>
      </c>
      <c r="V973">
        <v>180</v>
      </c>
      <c r="W973">
        <v>3.5</v>
      </c>
      <c r="X973" t="s">
        <v>26</v>
      </c>
      <c r="Y973">
        <v>4.5</v>
      </c>
      <c r="Z973">
        <v>0.05</v>
      </c>
      <c r="AA973">
        <v>0.05</v>
      </c>
      <c r="AB973">
        <v>62550</v>
      </c>
      <c r="AC973">
        <v>59422</v>
      </c>
      <c r="AD973">
        <v>486.5</v>
      </c>
      <c r="AE973">
        <v>2971.1000000000004</v>
      </c>
      <c r="AF973">
        <v>2971</v>
      </c>
      <c r="AG973">
        <v>25020</v>
      </c>
      <c r="AH973">
        <v>28459.9</v>
      </c>
      <c r="AI973" s="5">
        <v>0.478945508397563</v>
      </c>
    </row>
    <row r="974" spans="14:35" x14ac:dyDescent="0.25">
      <c r="N974" t="s">
        <v>996</v>
      </c>
      <c r="O974" s="1">
        <v>46164.958333333336</v>
      </c>
      <c r="P974" t="s">
        <v>737</v>
      </c>
      <c r="Q974" t="s">
        <v>23</v>
      </c>
      <c r="R974" t="s">
        <v>32</v>
      </c>
      <c r="S974">
        <v>144</v>
      </c>
      <c r="T974" t="s">
        <v>738</v>
      </c>
      <c r="U974">
        <v>450</v>
      </c>
      <c r="V974">
        <v>180</v>
      </c>
      <c r="W974">
        <v>3.5</v>
      </c>
      <c r="X974" t="s">
        <v>26</v>
      </c>
      <c r="Y974">
        <v>4.5</v>
      </c>
      <c r="Z974">
        <v>0.05</v>
      </c>
      <c r="AA974">
        <v>0.05</v>
      </c>
      <c r="AB974">
        <v>64800</v>
      </c>
      <c r="AC974">
        <v>61560</v>
      </c>
      <c r="AD974">
        <v>504</v>
      </c>
      <c r="AE974">
        <v>3078</v>
      </c>
      <c r="AF974">
        <v>3078</v>
      </c>
      <c r="AG974">
        <v>25920</v>
      </c>
      <c r="AH974">
        <v>29484</v>
      </c>
      <c r="AI974" s="5">
        <v>0.47894736842105301</v>
      </c>
    </row>
    <row r="975" spans="14:35" x14ac:dyDescent="0.25">
      <c r="N975" t="s">
        <v>997</v>
      </c>
      <c r="O975" s="1">
        <v>46165.041666666664</v>
      </c>
      <c r="P975" t="s">
        <v>737</v>
      </c>
      <c r="Q975" t="s">
        <v>23</v>
      </c>
      <c r="R975" t="s">
        <v>32</v>
      </c>
      <c r="S975">
        <v>24</v>
      </c>
      <c r="T975" t="s">
        <v>738</v>
      </c>
      <c r="U975">
        <v>450</v>
      </c>
      <c r="V975">
        <v>180</v>
      </c>
      <c r="W975">
        <v>3.5</v>
      </c>
      <c r="X975" t="s">
        <v>26</v>
      </c>
      <c r="Y975">
        <v>4.5</v>
      </c>
      <c r="Z975">
        <v>0.05</v>
      </c>
      <c r="AA975">
        <v>0.05</v>
      </c>
      <c r="AB975">
        <v>10800</v>
      </c>
      <c r="AC975">
        <v>10260</v>
      </c>
      <c r="AD975">
        <v>84</v>
      </c>
      <c r="AE975">
        <v>513</v>
      </c>
      <c r="AF975">
        <v>513</v>
      </c>
      <c r="AG975">
        <v>4320</v>
      </c>
      <c r="AH975">
        <v>4914</v>
      </c>
      <c r="AI975" s="5">
        <v>0.47894736842105301</v>
      </c>
    </row>
    <row r="976" spans="14:35" x14ac:dyDescent="0.25">
      <c r="N976" t="s">
        <v>998</v>
      </c>
      <c r="O976" s="1">
        <v>46165.791666666664</v>
      </c>
      <c r="P976" t="s">
        <v>737</v>
      </c>
      <c r="Q976" t="s">
        <v>23</v>
      </c>
      <c r="R976" t="s">
        <v>24</v>
      </c>
      <c r="S976">
        <v>15</v>
      </c>
      <c r="T976" t="s">
        <v>738</v>
      </c>
      <c r="U976">
        <v>450</v>
      </c>
      <c r="V976">
        <v>180</v>
      </c>
      <c r="W976">
        <v>3.5</v>
      </c>
      <c r="X976" t="s">
        <v>26</v>
      </c>
      <c r="Y976">
        <v>4.5</v>
      </c>
      <c r="Z976">
        <v>0.05</v>
      </c>
      <c r="AA976">
        <v>0.02</v>
      </c>
      <c r="AB976">
        <v>6750</v>
      </c>
      <c r="AC976">
        <v>6615</v>
      </c>
      <c r="AD976">
        <v>52.5</v>
      </c>
      <c r="AE976">
        <v>330.75</v>
      </c>
      <c r="AF976">
        <v>331</v>
      </c>
      <c r="AG976">
        <v>2700</v>
      </c>
      <c r="AH976">
        <v>3253.25</v>
      </c>
      <c r="AI976" s="5">
        <v>0.49179894179894201</v>
      </c>
    </row>
    <row r="977" spans="14:35" x14ac:dyDescent="0.25">
      <c r="N977" t="s">
        <v>999</v>
      </c>
      <c r="O977" s="1">
        <v>46165.958333333336</v>
      </c>
      <c r="P977" t="s">
        <v>737</v>
      </c>
      <c r="Q977" t="s">
        <v>23</v>
      </c>
      <c r="R977" t="s">
        <v>29</v>
      </c>
      <c r="S977">
        <v>56</v>
      </c>
      <c r="T977" t="s">
        <v>738</v>
      </c>
      <c r="U977">
        <v>450</v>
      </c>
      <c r="V977">
        <v>180</v>
      </c>
      <c r="W977">
        <v>3.5</v>
      </c>
      <c r="X977" t="s">
        <v>26</v>
      </c>
      <c r="Y977">
        <v>4.5</v>
      </c>
      <c r="Z977">
        <v>0.05</v>
      </c>
      <c r="AA977">
        <v>0.1</v>
      </c>
      <c r="AB977">
        <v>25200</v>
      </c>
      <c r="AC977">
        <v>22680</v>
      </c>
      <c r="AD977">
        <v>196</v>
      </c>
      <c r="AE977">
        <v>1134</v>
      </c>
      <c r="AF977">
        <v>1134</v>
      </c>
      <c r="AG977">
        <v>10080</v>
      </c>
      <c r="AH977">
        <v>10332</v>
      </c>
      <c r="AI977" s="5">
        <v>0.45555555555555599</v>
      </c>
    </row>
    <row r="978" spans="14:35" x14ac:dyDescent="0.25">
      <c r="N978" t="s">
        <v>1000</v>
      </c>
      <c r="O978" s="1">
        <v>46166.25</v>
      </c>
      <c r="P978" t="s">
        <v>737</v>
      </c>
      <c r="Q978" t="s">
        <v>23</v>
      </c>
      <c r="R978" t="s">
        <v>29</v>
      </c>
      <c r="S978">
        <v>57</v>
      </c>
      <c r="T978" t="s">
        <v>738</v>
      </c>
      <c r="U978">
        <v>450</v>
      </c>
      <c r="V978">
        <v>180</v>
      </c>
      <c r="W978">
        <v>3.5</v>
      </c>
      <c r="X978" t="s">
        <v>26</v>
      </c>
      <c r="Y978">
        <v>4.5</v>
      </c>
      <c r="Z978">
        <v>0.05</v>
      </c>
      <c r="AA978">
        <v>0.1</v>
      </c>
      <c r="AB978">
        <v>25650</v>
      </c>
      <c r="AC978">
        <v>23085</v>
      </c>
      <c r="AD978">
        <v>199.5</v>
      </c>
      <c r="AE978">
        <v>1154.25</v>
      </c>
      <c r="AF978">
        <v>1154</v>
      </c>
      <c r="AG978">
        <v>10260</v>
      </c>
      <c r="AH978">
        <v>10516.75</v>
      </c>
      <c r="AI978" s="5">
        <v>0.45556638509854902</v>
      </c>
    </row>
    <row r="979" spans="14:35" x14ac:dyDescent="0.25">
      <c r="N979" t="s">
        <v>1001</v>
      </c>
      <c r="O979" s="1">
        <v>46166.5</v>
      </c>
      <c r="P979" t="s">
        <v>737</v>
      </c>
      <c r="Q979" t="s">
        <v>23</v>
      </c>
      <c r="R979" t="s">
        <v>24</v>
      </c>
      <c r="S979">
        <v>110</v>
      </c>
      <c r="T979" t="s">
        <v>738</v>
      </c>
      <c r="U979">
        <v>450</v>
      </c>
      <c r="V979">
        <v>180</v>
      </c>
      <c r="W979">
        <v>3.5</v>
      </c>
      <c r="X979" t="s">
        <v>26</v>
      </c>
      <c r="Y979">
        <v>4.5</v>
      </c>
      <c r="Z979">
        <v>0.05</v>
      </c>
      <c r="AA979">
        <v>0.02</v>
      </c>
      <c r="AB979">
        <v>49500</v>
      </c>
      <c r="AC979">
        <v>48510</v>
      </c>
      <c r="AD979">
        <v>385</v>
      </c>
      <c r="AE979">
        <v>2425.5</v>
      </c>
      <c r="AF979">
        <v>2426</v>
      </c>
      <c r="AG979">
        <v>19800</v>
      </c>
      <c r="AH979">
        <v>23858.5</v>
      </c>
      <c r="AI979" s="5">
        <v>0.49182642754071298</v>
      </c>
    </row>
    <row r="980" spans="14:35" x14ac:dyDescent="0.25">
      <c r="N980" t="s">
        <v>1002</v>
      </c>
      <c r="O980" s="1">
        <v>46166.708333333336</v>
      </c>
      <c r="P980" t="s">
        <v>737</v>
      </c>
      <c r="Q980" t="s">
        <v>23</v>
      </c>
      <c r="R980" t="s">
        <v>24</v>
      </c>
      <c r="S980">
        <v>172</v>
      </c>
      <c r="T980" t="s">
        <v>738</v>
      </c>
      <c r="U980">
        <v>450</v>
      </c>
      <c r="V980">
        <v>180</v>
      </c>
      <c r="W980">
        <v>3.5</v>
      </c>
      <c r="X980" t="s">
        <v>26</v>
      </c>
      <c r="Y980">
        <v>4.5</v>
      </c>
      <c r="Z980">
        <v>0.05</v>
      </c>
      <c r="AA980">
        <v>0.02</v>
      </c>
      <c r="AB980">
        <v>77400</v>
      </c>
      <c r="AC980">
        <v>75852</v>
      </c>
      <c r="AD980">
        <v>602</v>
      </c>
      <c r="AE980">
        <v>3792.6000000000004</v>
      </c>
      <c r="AF980">
        <v>3793</v>
      </c>
      <c r="AG980">
        <v>30960</v>
      </c>
      <c r="AH980">
        <v>37306.400000000001</v>
      </c>
      <c r="AI980" s="5">
        <v>0.49183146126667698</v>
      </c>
    </row>
    <row r="981" spans="14:35" x14ac:dyDescent="0.25">
      <c r="N981" t="s">
        <v>1003</v>
      </c>
      <c r="O981" s="1">
        <v>46167.333333333336</v>
      </c>
      <c r="P981" t="s">
        <v>737</v>
      </c>
      <c r="Q981" t="s">
        <v>23</v>
      </c>
      <c r="R981" t="s">
        <v>32</v>
      </c>
      <c r="S981">
        <v>117</v>
      </c>
      <c r="T981" t="s">
        <v>738</v>
      </c>
      <c r="U981">
        <v>450</v>
      </c>
      <c r="V981">
        <v>180</v>
      </c>
      <c r="W981">
        <v>3.5</v>
      </c>
      <c r="X981" t="s">
        <v>26</v>
      </c>
      <c r="Y981">
        <v>4.5</v>
      </c>
      <c r="Z981">
        <v>0.05</v>
      </c>
      <c r="AA981">
        <v>0.05</v>
      </c>
      <c r="AB981">
        <v>52650</v>
      </c>
      <c r="AC981">
        <v>50018</v>
      </c>
      <c r="AD981">
        <v>409.5</v>
      </c>
      <c r="AE981">
        <v>2500.9</v>
      </c>
      <c r="AF981">
        <v>2501</v>
      </c>
      <c r="AG981">
        <v>21060</v>
      </c>
      <c r="AH981">
        <v>23956.1</v>
      </c>
      <c r="AI981" s="5">
        <v>0.47894957815186501</v>
      </c>
    </row>
    <row r="982" spans="14:35" x14ac:dyDescent="0.25">
      <c r="N982" t="s">
        <v>1004</v>
      </c>
      <c r="O982" s="1">
        <v>46169.041666666664</v>
      </c>
      <c r="P982" t="s">
        <v>737</v>
      </c>
      <c r="Q982" t="s">
        <v>23</v>
      </c>
      <c r="R982" t="s">
        <v>29</v>
      </c>
      <c r="S982">
        <v>132</v>
      </c>
      <c r="T982" t="s">
        <v>738</v>
      </c>
      <c r="U982">
        <v>450</v>
      </c>
      <c r="V982">
        <v>180</v>
      </c>
      <c r="W982">
        <v>3.5</v>
      </c>
      <c r="X982" t="s">
        <v>26</v>
      </c>
      <c r="Y982">
        <v>4.5</v>
      </c>
      <c r="Z982">
        <v>0.05</v>
      </c>
      <c r="AA982">
        <v>0.1</v>
      </c>
      <c r="AB982">
        <v>59400</v>
      </c>
      <c r="AC982">
        <v>53460</v>
      </c>
      <c r="AD982">
        <v>462</v>
      </c>
      <c r="AE982">
        <v>2673</v>
      </c>
      <c r="AF982">
        <v>2673</v>
      </c>
      <c r="AG982">
        <v>23760</v>
      </c>
      <c r="AH982">
        <v>24354</v>
      </c>
      <c r="AI982" s="5">
        <v>0.45555555555555599</v>
      </c>
    </row>
    <row r="983" spans="14:35" x14ac:dyDescent="0.25">
      <c r="N983" t="s">
        <v>1005</v>
      </c>
      <c r="O983" s="1">
        <v>46169.5</v>
      </c>
      <c r="P983" t="s">
        <v>737</v>
      </c>
      <c r="Q983" t="s">
        <v>23</v>
      </c>
      <c r="R983" t="s">
        <v>32</v>
      </c>
      <c r="S983">
        <v>158</v>
      </c>
      <c r="T983" t="s">
        <v>738</v>
      </c>
      <c r="U983">
        <v>450</v>
      </c>
      <c r="V983">
        <v>180</v>
      </c>
      <c r="W983">
        <v>3.5</v>
      </c>
      <c r="X983" t="s">
        <v>26</v>
      </c>
      <c r="Y983">
        <v>4.5</v>
      </c>
      <c r="Z983">
        <v>0.05</v>
      </c>
      <c r="AA983">
        <v>0.05</v>
      </c>
      <c r="AB983">
        <v>71100</v>
      </c>
      <c r="AC983">
        <v>67545</v>
      </c>
      <c r="AD983">
        <v>553</v>
      </c>
      <c r="AE983">
        <v>3377.25</v>
      </c>
      <c r="AF983">
        <v>3377</v>
      </c>
      <c r="AG983">
        <v>28440</v>
      </c>
      <c r="AH983">
        <v>32350.75</v>
      </c>
      <c r="AI983" s="5">
        <v>0.47895106965726603</v>
      </c>
    </row>
    <row r="984" spans="14:35" x14ac:dyDescent="0.25">
      <c r="N984" t="s">
        <v>1006</v>
      </c>
      <c r="O984" s="1">
        <v>46170.083333333336</v>
      </c>
      <c r="P984" t="s">
        <v>737</v>
      </c>
      <c r="Q984" t="s">
        <v>23</v>
      </c>
      <c r="R984" t="s">
        <v>29</v>
      </c>
      <c r="S984">
        <v>113</v>
      </c>
      <c r="T984" t="s">
        <v>738</v>
      </c>
      <c r="U984">
        <v>450</v>
      </c>
      <c r="V984">
        <v>180</v>
      </c>
      <c r="W984">
        <v>3.5</v>
      </c>
      <c r="X984" t="s">
        <v>26</v>
      </c>
      <c r="Y984">
        <v>4.5</v>
      </c>
      <c r="Z984">
        <v>0.05</v>
      </c>
      <c r="AA984">
        <v>0.1</v>
      </c>
      <c r="AB984">
        <v>50850</v>
      </c>
      <c r="AC984">
        <v>45765</v>
      </c>
      <c r="AD984">
        <v>395.5</v>
      </c>
      <c r="AE984">
        <v>2288.25</v>
      </c>
      <c r="AF984">
        <v>2288</v>
      </c>
      <c r="AG984">
        <v>20340</v>
      </c>
      <c r="AH984">
        <v>20848.75</v>
      </c>
      <c r="AI984" s="5">
        <v>0.45556101824538398</v>
      </c>
    </row>
    <row r="985" spans="14:35" x14ac:dyDescent="0.25">
      <c r="N985" t="s">
        <v>1007</v>
      </c>
      <c r="O985" s="1">
        <v>46171.125</v>
      </c>
      <c r="P985" t="s">
        <v>737</v>
      </c>
      <c r="Q985" t="s">
        <v>23</v>
      </c>
      <c r="R985" t="s">
        <v>24</v>
      </c>
      <c r="S985">
        <v>35</v>
      </c>
      <c r="T985" t="s">
        <v>738</v>
      </c>
      <c r="U985">
        <v>450</v>
      </c>
      <c r="V985">
        <v>180</v>
      </c>
      <c r="W985">
        <v>3.5</v>
      </c>
      <c r="X985" t="s">
        <v>26</v>
      </c>
      <c r="Y985">
        <v>4.5</v>
      </c>
      <c r="Z985">
        <v>0.05</v>
      </c>
      <c r="AA985">
        <v>0.02</v>
      </c>
      <c r="AB985">
        <v>15750</v>
      </c>
      <c r="AC985">
        <v>15435</v>
      </c>
      <c r="AD985">
        <v>122.5</v>
      </c>
      <c r="AE985">
        <v>771.75</v>
      </c>
      <c r="AF985">
        <v>772</v>
      </c>
      <c r="AG985">
        <v>6300</v>
      </c>
      <c r="AH985">
        <v>7591.25</v>
      </c>
      <c r="AI985" s="5">
        <v>0.49182053773890499</v>
      </c>
    </row>
    <row r="986" spans="14:35" x14ac:dyDescent="0.25">
      <c r="N986" t="s">
        <v>1008</v>
      </c>
      <c r="O986" s="1">
        <v>46171.625</v>
      </c>
      <c r="P986" t="s">
        <v>737</v>
      </c>
      <c r="Q986" t="s">
        <v>23</v>
      </c>
      <c r="R986" t="s">
        <v>32</v>
      </c>
      <c r="S986">
        <v>104</v>
      </c>
      <c r="T986" t="s">
        <v>738</v>
      </c>
      <c r="U986">
        <v>450</v>
      </c>
      <c r="V986">
        <v>180</v>
      </c>
      <c r="W986">
        <v>3.5</v>
      </c>
      <c r="X986" t="s">
        <v>26</v>
      </c>
      <c r="Y986">
        <v>4.5</v>
      </c>
      <c r="Z986">
        <v>0.05</v>
      </c>
      <c r="AA986">
        <v>0.05</v>
      </c>
      <c r="AB986">
        <v>46800</v>
      </c>
      <c r="AC986">
        <v>44460</v>
      </c>
      <c r="AD986">
        <v>364</v>
      </c>
      <c r="AE986">
        <v>2223</v>
      </c>
      <c r="AF986">
        <v>2223</v>
      </c>
      <c r="AG986">
        <v>18720</v>
      </c>
      <c r="AH986">
        <v>21294</v>
      </c>
      <c r="AI986" s="5">
        <v>0.47894736842105301</v>
      </c>
    </row>
    <row r="987" spans="14:35" x14ac:dyDescent="0.25">
      <c r="N987" t="s">
        <v>1009</v>
      </c>
      <c r="O987" s="1">
        <v>46171.958333333336</v>
      </c>
      <c r="P987" t="s">
        <v>737</v>
      </c>
      <c r="Q987" t="s">
        <v>23</v>
      </c>
      <c r="R987" t="s">
        <v>24</v>
      </c>
      <c r="S987">
        <v>88</v>
      </c>
      <c r="T987" t="s">
        <v>738</v>
      </c>
      <c r="U987">
        <v>450</v>
      </c>
      <c r="V987">
        <v>180</v>
      </c>
      <c r="W987">
        <v>3.5</v>
      </c>
      <c r="X987" t="s">
        <v>26</v>
      </c>
      <c r="Y987">
        <v>4.5</v>
      </c>
      <c r="Z987">
        <v>0.05</v>
      </c>
      <c r="AA987">
        <v>0.02</v>
      </c>
      <c r="AB987">
        <v>39600</v>
      </c>
      <c r="AC987">
        <v>38808</v>
      </c>
      <c r="AD987">
        <v>308</v>
      </c>
      <c r="AE987">
        <v>1940.4</v>
      </c>
      <c r="AF987">
        <v>1940</v>
      </c>
      <c r="AG987">
        <v>15840</v>
      </c>
      <c r="AH987">
        <v>19087.599999999999</v>
      </c>
      <c r="AI987" s="5">
        <v>0.49184704184704198</v>
      </c>
    </row>
    <row r="988" spans="14:35" x14ac:dyDescent="0.25">
      <c r="N988" t="s">
        <v>1010</v>
      </c>
      <c r="O988" s="1">
        <v>46172.666666666664</v>
      </c>
      <c r="P988" t="s">
        <v>737</v>
      </c>
      <c r="Q988" t="s">
        <v>23</v>
      </c>
      <c r="R988" t="s">
        <v>24</v>
      </c>
      <c r="S988">
        <v>30</v>
      </c>
      <c r="T988" t="s">
        <v>738</v>
      </c>
      <c r="U988">
        <v>450</v>
      </c>
      <c r="V988">
        <v>180</v>
      </c>
      <c r="W988">
        <v>3.5</v>
      </c>
      <c r="X988" t="s">
        <v>26</v>
      </c>
      <c r="Y988">
        <v>4.5</v>
      </c>
      <c r="Z988">
        <v>0.05</v>
      </c>
      <c r="AA988">
        <v>0.02</v>
      </c>
      <c r="AB988">
        <v>13500</v>
      </c>
      <c r="AC988">
        <v>13230</v>
      </c>
      <c r="AD988">
        <v>105</v>
      </c>
      <c r="AE988">
        <v>661.5</v>
      </c>
      <c r="AF988">
        <v>662</v>
      </c>
      <c r="AG988">
        <v>5400</v>
      </c>
      <c r="AH988">
        <v>6506.5</v>
      </c>
      <c r="AI988" s="5">
        <v>0.49179894179894201</v>
      </c>
    </row>
    <row r="989" spans="14:35" x14ac:dyDescent="0.25">
      <c r="N989" t="s">
        <v>1011</v>
      </c>
      <c r="O989" s="1">
        <v>46173.375</v>
      </c>
      <c r="P989" t="s">
        <v>737</v>
      </c>
      <c r="Q989" t="s">
        <v>23</v>
      </c>
      <c r="R989" t="s">
        <v>29</v>
      </c>
      <c r="S989">
        <v>194</v>
      </c>
      <c r="T989" t="s">
        <v>738</v>
      </c>
      <c r="U989">
        <v>450</v>
      </c>
      <c r="V989">
        <v>180</v>
      </c>
      <c r="W989">
        <v>3.5</v>
      </c>
      <c r="X989" t="s">
        <v>26</v>
      </c>
      <c r="Y989">
        <v>4.5</v>
      </c>
      <c r="Z989">
        <v>0.05</v>
      </c>
      <c r="AA989">
        <v>0.1</v>
      </c>
      <c r="AB989">
        <v>87300</v>
      </c>
      <c r="AC989">
        <v>78570</v>
      </c>
      <c r="AD989">
        <v>679</v>
      </c>
      <c r="AE989">
        <v>3928.5</v>
      </c>
      <c r="AF989">
        <v>3928</v>
      </c>
      <c r="AG989">
        <v>34920</v>
      </c>
      <c r="AH989">
        <v>35793.5</v>
      </c>
      <c r="AI989" s="5">
        <v>0.45556191930762402</v>
      </c>
    </row>
    <row r="990" spans="14:35" x14ac:dyDescent="0.25">
      <c r="N990" t="s">
        <v>1012</v>
      </c>
      <c r="O990" s="1">
        <v>46173.833333333336</v>
      </c>
      <c r="P990" t="s">
        <v>737</v>
      </c>
      <c r="Q990" t="s">
        <v>23</v>
      </c>
      <c r="R990" t="s">
        <v>29</v>
      </c>
      <c r="S990">
        <v>23</v>
      </c>
      <c r="T990" t="s">
        <v>738</v>
      </c>
      <c r="U990">
        <v>450</v>
      </c>
      <c r="V990">
        <v>180</v>
      </c>
      <c r="W990">
        <v>3.5</v>
      </c>
      <c r="X990" t="s">
        <v>26</v>
      </c>
      <c r="Y990">
        <v>4.5</v>
      </c>
      <c r="Z990">
        <v>0.05</v>
      </c>
      <c r="AA990">
        <v>0.1</v>
      </c>
      <c r="AB990">
        <v>10350</v>
      </c>
      <c r="AC990">
        <v>9315</v>
      </c>
      <c r="AD990">
        <v>80.5</v>
      </c>
      <c r="AE990">
        <v>465.75</v>
      </c>
      <c r="AF990">
        <v>466</v>
      </c>
      <c r="AG990">
        <v>4140</v>
      </c>
      <c r="AH990">
        <v>4243.25</v>
      </c>
      <c r="AI990" s="5">
        <v>0.45552871712291998</v>
      </c>
    </row>
    <row r="991" spans="14:35" x14ac:dyDescent="0.25">
      <c r="N991" t="s">
        <v>1013</v>
      </c>
      <c r="O991" s="1">
        <v>46174.416666666664</v>
      </c>
      <c r="P991" t="s">
        <v>737</v>
      </c>
      <c r="Q991" t="s">
        <v>23</v>
      </c>
      <c r="R991" t="s">
        <v>32</v>
      </c>
      <c r="S991">
        <v>52</v>
      </c>
      <c r="T991" t="s">
        <v>738</v>
      </c>
      <c r="U991">
        <v>450</v>
      </c>
      <c r="V991">
        <v>180</v>
      </c>
      <c r="W991">
        <v>3.5</v>
      </c>
      <c r="X991" t="s">
        <v>26</v>
      </c>
      <c r="Y991">
        <v>4.5</v>
      </c>
      <c r="Z991">
        <v>0.05</v>
      </c>
      <c r="AA991">
        <v>0.05</v>
      </c>
      <c r="AB991">
        <v>23400</v>
      </c>
      <c r="AC991">
        <v>22230</v>
      </c>
      <c r="AD991">
        <v>182</v>
      </c>
      <c r="AE991">
        <v>1111.5</v>
      </c>
      <c r="AF991">
        <v>1112</v>
      </c>
      <c r="AG991">
        <v>9360</v>
      </c>
      <c r="AH991">
        <v>10646.5</v>
      </c>
      <c r="AI991" s="5">
        <v>0.478924876293297</v>
      </c>
    </row>
    <row r="992" spans="14:35" x14ac:dyDescent="0.25">
      <c r="N992" t="s">
        <v>1014</v>
      </c>
      <c r="O992" s="1">
        <v>46174.833333333336</v>
      </c>
      <c r="P992" t="s">
        <v>737</v>
      </c>
      <c r="Q992" t="s">
        <v>23</v>
      </c>
      <c r="R992" t="s">
        <v>32</v>
      </c>
      <c r="S992">
        <v>35</v>
      </c>
      <c r="T992" t="s">
        <v>738</v>
      </c>
      <c r="U992">
        <v>450</v>
      </c>
      <c r="V992">
        <v>180</v>
      </c>
      <c r="W992">
        <v>3.5</v>
      </c>
      <c r="X992" t="s">
        <v>26</v>
      </c>
      <c r="Y992">
        <v>4.5</v>
      </c>
      <c r="Z992">
        <v>0.05</v>
      </c>
      <c r="AA992">
        <v>0.05</v>
      </c>
      <c r="AB992">
        <v>15750</v>
      </c>
      <c r="AC992">
        <v>14962</v>
      </c>
      <c r="AD992">
        <v>122.5</v>
      </c>
      <c r="AE992">
        <v>748.1</v>
      </c>
      <c r="AF992">
        <v>748</v>
      </c>
      <c r="AG992">
        <v>6300</v>
      </c>
      <c r="AH992">
        <v>7165.9</v>
      </c>
      <c r="AI992" s="5">
        <v>0.47893998128592402</v>
      </c>
    </row>
    <row r="993" spans="14:35" x14ac:dyDescent="0.25">
      <c r="N993" t="s">
        <v>1015</v>
      </c>
      <c r="O993" s="1">
        <v>46175.083333333336</v>
      </c>
      <c r="P993" t="s">
        <v>737</v>
      </c>
      <c r="Q993" t="s">
        <v>23</v>
      </c>
      <c r="R993" t="s">
        <v>24</v>
      </c>
      <c r="S993">
        <v>13</v>
      </c>
      <c r="T993" t="s">
        <v>738</v>
      </c>
      <c r="U993">
        <v>450</v>
      </c>
      <c r="V993">
        <v>180</v>
      </c>
      <c r="W993">
        <v>3.5</v>
      </c>
      <c r="X993" t="s">
        <v>26</v>
      </c>
      <c r="Y993">
        <v>4.5</v>
      </c>
      <c r="Z993">
        <v>0.05</v>
      </c>
      <c r="AA993">
        <v>0.02</v>
      </c>
      <c r="AB993">
        <v>5850</v>
      </c>
      <c r="AC993">
        <v>5733</v>
      </c>
      <c r="AD993">
        <v>45.5</v>
      </c>
      <c r="AE993">
        <v>286.65000000000003</v>
      </c>
      <c r="AF993">
        <v>287</v>
      </c>
      <c r="AG993">
        <v>2340</v>
      </c>
      <c r="AH993">
        <v>2819.35</v>
      </c>
      <c r="AI993" s="5">
        <v>0.491775684632827</v>
      </c>
    </row>
    <row r="994" spans="14:35" x14ac:dyDescent="0.25">
      <c r="N994" t="s">
        <v>1016</v>
      </c>
      <c r="O994" s="1">
        <v>46176.208333333336</v>
      </c>
      <c r="P994" t="s">
        <v>737</v>
      </c>
      <c r="Q994" t="s">
        <v>23</v>
      </c>
      <c r="R994" t="s">
        <v>29</v>
      </c>
      <c r="S994">
        <v>16</v>
      </c>
      <c r="T994" t="s">
        <v>738</v>
      </c>
      <c r="U994">
        <v>450</v>
      </c>
      <c r="V994">
        <v>180</v>
      </c>
      <c r="W994">
        <v>3.5</v>
      </c>
      <c r="X994" t="s">
        <v>26</v>
      </c>
      <c r="Y994">
        <v>4.5</v>
      </c>
      <c r="Z994">
        <v>0.05</v>
      </c>
      <c r="AA994">
        <v>0.1</v>
      </c>
      <c r="AB994">
        <v>7200</v>
      </c>
      <c r="AC994">
        <v>6480</v>
      </c>
      <c r="AD994">
        <v>56</v>
      </c>
      <c r="AE994">
        <v>324</v>
      </c>
      <c r="AF994">
        <v>324</v>
      </c>
      <c r="AG994">
        <v>2880</v>
      </c>
      <c r="AH994">
        <v>2952</v>
      </c>
      <c r="AI994" s="5">
        <v>0.45555555555555599</v>
      </c>
    </row>
    <row r="995" spans="14:35" x14ac:dyDescent="0.25">
      <c r="N995" t="s">
        <v>1017</v>
      </c>
      <c r="O995" s="1">
        <v>46177.125</v>
      </c>
      <c r="P995" t="s">
        <v>737</v>
      </c>
      <c r="Q995" t="s">
        <v>23</v>
      </c>
      <c r="R995" t="s">
        <v>29</v>
      </c>
      <c r="S995">
        <v>144</v>
      </c>
      <c r="T995" t="s">
        <v>738</v>
      </c>
      <c r="U995">
        <v>450</v>
      </c>
      <c r="V995">
        <v>180</v>
      </c>
      <c r="W995">
        <v>3.5</v>
      </c>
      <c r="X995" t="s">
        <v>26</v>
      </c>
      <c r="Y995">
        <v>4.5</v>
      </c>
      <c r="Z995">
        <v>0.05</v>
      </c>
      <c r="AA995">
        <v>0.1</v>
      </c>
      <c r="AB995">
        <v>64800</v>
      </c>
      <c r="AC995">
        <v>58320</v>
      </c>
      <c r="AD995">
        <v>504</v>
      </c>
      <c r="AE995">
        <v>2916</v>
      </c>
      <c r="AF995">
        <v>2916</v>
      </c>
      <c r="AG995">
        <v>25920</v>
      </c>
      <c r="AH995">
        <v>26568</v>
      </c>
      <c r="AI995" s="5">
        <v>0.45555555555555599</v>
      </c>
    </row>
    <row r="996" spans="14:35" x14ac:dyDescent="0.25">
      <c r="N996" t="s">
        <v>1018</v>
      </c>
      <c r="O996" s="1">
        <v>46177.625</v>
      </c>
      <c r="P996" t="s">
        <v>737</v>
      </c>
      <c r="Q996" t="s">
        <v>23</v>
      </c>
      <c r="R996" t="s">
        <v>24</v>
      </c>
      <c r="S996">
        <v>47</v>
      </c>
      <c r="T996" t="s">
        <v>738</v>
      </c>
      <c r="U996">
        <v>450</v>
      </c>
      <c r="V996">
        <v>180</v>
      </c>
      <c r="W996">
        <v>3.5</v>
      </c>
      <c r="X996" t="s">
        <v>26</v>
      </c>
      <c r="Y996">
        <v>4.5</v>
      </c>
      <c r="Z996">
        <v>0.05</v>
      </c>
      <c r="AA996">
        <v>0.02</v>
      </c>
      <c r="AB996">
        <v>21150</v>
      </c>
      <c r="AC996">
        <v>20727</v>
      </c>
      <c r="AD996">
        <v>164.5</v>
      </c>
      <c r="AE996">
        <v>1036.3500000000001</v>
      </c>
      <c r="AF996">
        <v>1036</v>
      </c>
      <c r="AG996">
        <v>8460</v>
      </c>
      <c r="AH996">
        <v>10194.65</v>
      </c>
      <c r="AI996" s="5">
        <v>0.49185362088097601</v>
      </c>
    </row>
    <row r="997" spans="14:35" x14ac:dyDescent="0.25">
      <c r="N997" t="s">
        <v>1019</v>
      </c>
      <c r="O997" s="1">
        <v>46178.166666666664</v>
      </c>
      <c r="P997" t="s">
        <v>737</v>
      </c>
      <c r="Q997" t="s">
        <v>23</v>
      </c>
      <c r="R997" t="s">
        <v>24</v>
      </c>
      <c r="S997">
        <v>160</v>
      </c>
      <c r="T997" t="s">
        <v>738</v>
      </c>
      <c r="U997">
        <v>450</v>
      </c>
      <c r="V997">
        <v>180</v>
      </c>
      <c r="W997">
        <v>3.5</v>
      </c>
      <c r="X997" t="s">
        <v>26</v>
      </c>
      <c r="Y997">
        <v>4.5</v>
      </c>
      <c r="Z997">
        <v>0.05</v>
      </c>
      <c r="AA997">
        <v>0.02</v>
      </c>
      <c r="AB997">
        <v>72000</v>
      </c>
      <c r="AC997">
        <v>70560</v>
      </c>
      <c r="AD997">
        <v>560</v>
      </c>
      <c r="AE997">
        <v>3528</v>
      </c>
      <c r="AF997">
        <v>3528</v>
      </c>
      <c r="AG997">
        <v>28800</v>
      </c>
      <c r="AH997">
        <v>34704</v>
      </c>
      <c r="AI997" s="5">
        <v>0.49183673469387801</v>
      </c>
    </row>
    <row r="998" spans="14:35" x14ac:dyDescent="0.25">
      <c r="N998" t="s">
        <v>1020</v>
      </c>
      <c r="O998" s="1">
        <v>46178.833333333336</v>
      </c>
      <c r="P998" t="s">
        <v>737</v>
      </c>
      <c r="Q998" t="s">
        <v>23</v>
      </c>
      <c r="R998" t="s">
        <v>32</v>
      </c>
      <c r="S998">
        <v>15</v>
      </c>
      <c r="T998" t="s">
        <v>738</v>
      </c>
      <c r="U998">
        <v>450</v>
      </c>
      <c r="V998">
        <v>180</v>
      </c>
      <c r="W998">
        <v>3.5</v>
      </c>
      <c r="X998" t="s">
        <v>26</v>
      </c>
      <c r="Y998">
        <v>4.5</v>
      </c>
      <c r="Z998">
        <v>0.05</v>
      </c>
      <c r="AA998">
        <v>0.05</v>
      </c>
      <c r="AB998">
        <v>6750</v>
      </c>
      <c r="AC998">
        <v>6412</v>
      </c>
      <c r="AD998">
        <v>52.5</v>
      </c>
      <c r="AE998">
        <v>320.60000000000002</v>
      </c>
      <c r="AF998">
        <v>321</v>
      </c>
      <c r="AG998">
        <v>2700</v>
      </c>
      <c r="AH998">
        <v>3070.4</v>
      </c>
      <c r="AI998" s="5">
        <v>0.47885215221459798</v>
      </c>
    </row>
    <row r="999" spans="14:35" x14ac:dyDescent="0.25">
      <c r="N999" t="s">
        <v>1021</v>
      </c>
      <c r="O999" s="1">
        <v>46179.75</v>
      </c>
      <c r="P999" t="s">
        <v>737</v>
      </c>
      <c r="Q999" t="s">
        <v>23</v>
      </c>
      <c r="R999" t="s">
        <v>32</v>
      </c>
      <c r="S999">
        <v>100</v>
      </c>
      <c r="T999" t="s">
        <v>738</v>
      </c>
      <c r="U999">
        <v>450</v>
      </c>
      <c r="V999">
        <v>180</v>
      </c>
      <c r="W999">
        <v>3.5</v>
      </c>
      <c r="X999" t="s">
        <v>26</v>
      </c>
      <c r="Y999">
        <v>4.5</v>
      </c>
      <c r="Z999">
        <v>0.05</v>
      </c>
      <c r="AA999">
        <v>0.05</v>
      </c>
      <c r="AB999">
        <v>45000</v>
      </c>
      <c r="AC999">
        <v>42750</v>
      </c>
      <c r="AD999">
        <v>350</v>
      </c>
      <c r="AE999">
        <v>2137.5</v>
      </c>
      <c r="AF999">
        <v>2138</v>
      </c>
      <c r="AG999">
        <v>18000</v>
      </c>
      <c r="AH999">
        <v>20474.5</v>
      </c>
      <c r="AI999" s="5">
        <v>0.47893567251461999</v>
      </c>
    </row>
    <row r="1000" spans="14:35" x14ac:dyDescent="0.25">
      <c r="N1000" t="s">
        <v>1022</v>
      </c>
      <c r="O1000" s="1">
        <v>46179.791666666664</v>
      </c>
      <c r="P1000" t="s">
        <v>737</v>
      </c>
      <c r="Q1000" t="s">
        <v>23</v>
      </c>
      <c r="R1000" t="s">
        <v>24</v>
      </c>
      <c r="S1000">
        <v>85</v>
      </c>
      <c r="T1000" t="s">
        <v>738</v>
      </c>
      <c r="U1000">
        <v>450</v>
      </c>
      <c r="V1000">
        <v>180</v>
      </c>
      <c r="W1000">
        <v>3.5</v>
      </c>
      <c r="X1000" t="s">
        <v>26</v>
      </c>
      <c r="Y1000">
        <v>4.5</v>
      </c>
      <c r="Z1000">
        <v>0.05</v>
      </c>
      <c r="AA1000">
        <v>0.02</v>
      </c>
      <c r="AB1000">
        <v>38250</v>
      </c>
      <c r="AC1000">
        <v>37485</v>
      </c>
      <c r="AD1000">
        <v>297.5</v>
      </c>
      <c r="AE1000">
        <v>1874.25</v>
      </c>
      <c r="AF1000">
        <v>1874</v>
      </c>
      <c r="AG1000">
        <v>15300</v>
      </c>
      <c r="AH1000">
        <v>18436.75</v>
      </c>
      <c r="AI1000" s="5">
        <v>0.49184340402827798</v>
      </c>
    </row>
    <row r="1001" spans="14:35" x14ac:dyDescent="0.25">
      <c r="N1001" t="s">
        <v>1023</v>
      </c>
      <c r="O1001" s="1">
        <v>46180.791666666664</v>
      </c>
      <c r="P1001" t="s">
        <v>737</v>
      </c>
      <c r="Q1001" t="s">
        <v>23</v>
      </c>
      <c r="R1001" t="s">
        <v>29</v>
      </c>
      <c r="S1001">
        <v>126</v>
      </c>
      <c r="T1001" t="s">
        <v>738</v>
      </c>
      <c r="U1001">
        <v>450</v>
      </c>
      <c r="V1001">
        <v>180</v>
      </c>
      <c r="W1001">
        <v>3.5</v>
      </c>
      <c r="X1001" t="s">
        <v>26</v>
      </c>
      <c r="Y1001">
        <v>4.5</v>
      </c>
      <c r="Z1001">
        <v>0.05</v>
      </c>
      <c r="AA1001">
        <v>0.1</v>
      </c>
      <c r="AB1001">
        <v>56700</v>
      </c>
      <c r="AC1001">
        <v>51030</v>
      </c>
      <c r="AD1001">
        <v>441</v>
      </c>
      <c r="AE1001">
        <v>2551.5</v>
      </c>
      <c r="AF1001">
        <v>2552</v>
      </c>
      <c r="AG1001">
        <v>22680</v>
      </c>
      <c r="AH1001">
        <v>23246.5</v>
      </c>
      <c r="AI1001" s="5">
        <v>0.455545757397609</v>
      </c>
    </row>
    <row r="1002" spans="14:35" x14ac:dyDescent="0.25">
      <c r="N1002" t="s">
        <v>1024</v>
      </c>
      <c r="O1002" s="1">
        <v>46180.958333333336</v>
      </c>
      <c r="P1002" t="s">
        <v>737</v>
      </c>
      <c r="Q1002" t="s">
        <v>23</v>
      </c>
      <c r="R1002" t="s">
        <v>32</v>
      </c>
      <c r="S1002">
        <v>28</v>
      </c>
      <c r="T1002" t="s">
        <v>738</v>
      </c>
      <c r="U1002">
        <v>450</v>
      </c>
      <c r="V1002">
        <v>180</v>
      </c>
      <c r="W1002">
        <v>3.5</v>
      </c>
      <c r="X1002" t="s">
        <v>26</v>
      </c>
      <c r="Y1002">
        <v>4.5</v>
      </c>
      <c r="Z1002">
        <v>0.05</v>
      </c>
      <c r="AA1002">
        <v>0.05</v>
      </c>
      <c r="AB1002">
        <v>12600</v>
      </c>
      <c r="AC1002">
        <v>11970</v>
      </c>
      <c r="AD1002">
        <v>98</v>
      </c>
      <c r="AE1002">
        <v>598.5</v>
      </c>
      <c r="AF1002">
        <v>598</v>
      </c>
      <c r="AG1002">
        <v>5040</v>
      </c>
      <c r="AH1002">
        <v>5733.5</v>
      </c>
      <c r="AI1002" s="5">
        <v>0.47898913951545502</v>
      </c>
    </row>
    <row r="1003" spans="14:35" x14ac:dyDescent="0.25">
      <c r="N1003" t="s">
        <v>1025</v>
      </c>
      <c r="O1003" s="1">
        <v>46181.125</v>
      </c>
      <c r="P1003" t="s">
        <v>737</v>
      </c>
      <c r="Q1003" t="s">
        <v>23</v>
      </c>
      <c r="R1003" t="s">
        <v>24</v>
      </c>
      <c r="S1003">
        <v>110</v>
      </c>
      <c r="T1003" t="s">
        <v>738</v>
      </c>
      <c r="U1003">
        <v>450</v>
      </c>
      <c r="V1003">
        <v>180</v>
      </c>
      <c r="W1003">
        <v>3.5</v>
      </c>
      <c r="X1003" t="s">
        <v>26</v>
      </c>
      <c r="Y1003">
        <v>4.5</v>
      </c>
      <c r="Z1003">
        <v>0.05</v>
      </c>
      <c r="AA1003">
        <v>0.02</v>
      </c>
      <c r="AB1003">
        <v>49500</v>
      </c>
      <c r="AC1003">
        <v>48510</v>
      </c>
      <c r="AD1003">
        <v>385</v>
      </c>
      <c r="AE1003">
        <v>2425.5</v>
      </c>
      <c r="AF1003">
        <v>2426</v>
      </c>
      <c r="AG1003">
        <v>19800</v>
      </c>
      <c r="AH1003">
        <v>23858.5</v>
      </c>
      <c r="AI1003" s="5">
        <v>0.49182642754071298</v>
      </c>
    </row>
    <row r="1004" spans="14:35" x14ac:dyDescent="0.25">
      <c r="N1004" t="s">
        <v>1026</v>
      </c>
      <c r="O1004" s="1">
        <v>46181.208333333336</v>
      </c>
      <c r="P1004" t="s">
        <v>737</v>
      </c>
      <c r="Q1004" t="s">
        <v>23</v>
      </c>
      <c r="R1004" t="s">
        <v>29</v>
      </c>
      <c r="S1004">
        <v>147</v>
      </c>
      <c r="T1004" t="s">
        <v>738</v>
      </c>
      <c r="U1004">
        <v>450</v>
      </c>
      <c r="V1004">
        <v>180</v>
      </c>
      <c r="W1004">
        <v>3.5</v>
      </c>
      <c r="X1004" t="s">
        <v>26</v>
      </c>
      <c r="Y1004">
        <v>4.5</v>
      </c>
      <c r="Z1004">
        <v>0.05</v>
      </c>
      <c r="AA1004">
        <v>0.1</v>
      </c>
      <c r="AB1004">
        <v>66150</v>
      </c>
      <c r="AC1004">
        <v>59535</v>
      </c>
      <c r="AD1004">
        <v>514.5</v>
      </c>
      <c r="AE1004">
        <v>2976.75</v>
      </c>
      <c r="AF1004">
        <v>2977</v>
      </c>
      <c r="AG1004">
        <v>26460</v>
      </c>
      <c r="AH1004">
        <v>27121.25</v>
      </c>
      <c r="AI1004" s="5">
        <v>0.45555135634500699</v>
      </c>
    </row>
    <row r="1005" spans="14:35" x14ac:dyDescent="0.25">
      <c r="N1005" t="s">
        <v>1027</v>
      </c>
      <c r="O1005" s="1">
        <v>46181.25</v>
      </c>
      <c r="P1005" t="s">
        <v>737</v>
      </c>
      <c r="Q1005" t="s">
        <v>23</v>
      </c>
      <c r="R1005" t="s">
        <v>29</v>
      </c>
      <c r="S1005">
        <v>195</v>
      </c>
      <c r="T1005" t="s">
        <v>738</v>
      </c>
      <c r="U1005">
        <v>450</v>
      </c>
      <c r="V1005">
        <v>180</v>
      </c>
      <c r="W1005">
        <v>3.5</v>
      </c>
      <c r="X1005" t="s">
        <v>26</v>
      </c>
      <c r="Y1005">
        <v>4.5</v>
      </c>
      <c r="Z1005">
        <v>0.05</v>
      </c>
      <c r="AA1005">
        <v>0.1</v>
      </c>
      <c r="AB1005">
        <v>87750</v>
      </c>
      <c r="AC1005">
        <v>78975</v>
      </c>
      <c r="AD1005">
        <v>682.5</v>
      </c>
      <c r="AE1005">
        <v>3948.75</v>
      </c>
      <c r="AF1005">
        <v>3949</v>
      </c>
      <c r="AG1005">
        <v>35100</v>
      </c>
      <c r="AH1005">
        <v>35977.25</v>
      </c>
      <c r="AI1005" s="5">
        <v>0.45555238999683401</v>
      </c>
    </row>
    <row r="1006" spans="14:35" x14ac:dyDescent="0.25">
      <c r="N1006" t="s">
        <v>1028</v>
      </c>
      <c r="O1006" s="1">
        <v>46181.75</v>
      </c>
      <c r="P1006" t="s">
        <v>737</v>
      </c>
      <c r="Q1006" t="s">
        <v>23</v>
      </c>
      <c r="R1006" t="s">
        <v>24</v>
      </c>
      <c r="S1006">
        <v>17</v>
      </c>
      <c r="T1006" t="s">
        <v>738</v>
      </c>
      <c r="U1006">
        <v>450</v>
      </c>
      <c r="V1006">
        <v>180</v>
      </c>
      <c r="W1006">
        <v>3.5</v>
      </c>
      <c r="X1006" t="s">
        <v>26</v>
      </c>
      <c r="Y1006">
        <v>4.5</v>
      </c>
      <c r="Z1006">
        <v>0.05</v>
      </c>
      <c r="AA1006">
        <v>0.02</v>
      </c>
      <c r="AB1006">
        <v>7650</v>
      </c>
      <c r="AC1006">
        <v>7497</v>
      </c>
      <c r="AD1006">
        <v>59.5</v>
      </c>
      <c r="AE1006">
        <v>374.85</v>
      </c>
      <c r="AF1006">
        <v>375</v>
      </c>
      <c r="AG1006">
        <v>3060</v>
      </c>
      <c r="AH1006">
        <v>3687.15</v>
      </c>
      <c r="AI1006" s="5">
        <v>0.491816726690676</v>
      </c>
    </row>
    <row r="1007" spans="14:35" x14ac:dyDescent="0.25">
      <c r="N1007" t="s">
        <v>1029</v>
      </c>
      <c r="O1007" s="1">
        <v>46182.041666666664</v>
      </c>
      <c r="P1007" t="s">
        <v>737</v>
      </c>
      <c r="Q1007" t="s">
        <v>23</v>
      </c>
      <c r="R1007" t="s">
        <v>29</v>
      </c>
      <c r="S1007">
        <v>145</v>
      </c>
      <c r="T1007" t="s">
        <v>738</v>
      </c>
      <c r="U1007">
        <v>450</v>
      </c>
      <c r="V1007">
        <v>180</v>
      </c>
      <c r="W1007">
        <v>3.5</v>
      </c>
      <c r="X1007" t="s">
        <v>26</v>
      </c>
      <c r="Y1007">
        <v>4.5</v>
      </c>
      <c r="Z1007">
        <v>0.05</v>
      </c>
      <c r="AA1007">
        <v>0.1</v>
      </c>
      <c r="AB1007">
        <v>65250</v>
      </c>
      <c r="AC1007">
        <v>58725</v>
      </c>
      <c r="AD1007">
        <v>507.5</v>
      </c>
      <c r="AE1007">
        <v>2936.25</v>
      </c>
      <c r="AF1007">
        <v>2936</v>
      </c>
      <c r="AG1007">
        <v>26100</v>
      </c>
      <c r="AH1007">
        <v>26752.75</v>
      </c>
      <c r="AI1007" s="5">
        <v>0.45555981268624901</v>
      </c>
    </row>
    <row r="1008" spans="14:35" x14ac:dyDescent="0.25">
      <c r="N1008" t="s">
        <v>1030</v>
      </c>
      <c r="O1008" s="1">
        <v>46182.75</v>
      </c>
      <c r="P1008" t="s">
        <v>737</v>
      </c>
      <c r="Q1008" t="s">
        <v>23</v>
      </c>
      <c r="R1008" t="s">
        <v>32</v>
      </c>
      <c r="S1008">
        <v>191</v>
      </c>
      <c r="T1008" t="s">
        <v>738</v>
      </c>
      <c r="U1008">
        <v>450</v>
      </c>
      <c r="V1008">
        <v>180</v>
      </c>
      <c r="W1008">
        <v>3.5</v>
      </c>
      <c r="X1008" t="s">
        <v>26</v>
      </c>
      <c r="Y1008">
        <v>4.5</v>
      </c>
      <c r="Z1008">
        <v>0.05</v>
      </c>
      <c r="AA1008">
        <v>0.05</v>
      </c>
      <c r="AB1008">
        <v>85950</v>
      </c>
      <c r="AC1008">
        <v>81652</v>
      </c>
      <c r="AD1008">
        <v>668.5</v>
      </c>
      <c r="AE1008">
        <v>4082.6000000000004</v>
      </c>
      <c r="AF1008">
        <v>4083</v>
      </c>
      <c r="AG1008">
        <v>34380</v>
      </c>
      <c r="AH1008">
        <v>39106.400000000001</v>
      </c>
      <c r="AI1008" s="5">
        <v>0.47893989124577502</v>
      </c>
    </row>
    <row r="1009" spans="14:35" x14ac:dyDescent="0.25">
      <c r="N1009" t="s">
        <v>1031</v>
      </c>
      <c r="O1009" s="1">
        <v>46182.833333333336</v>
      </c>
      <c r="P1009" t="s">
        <v>737</v>
      </c>
      <c r="Q1009" t="s">
        <v>23</v>
      </c>
      <c r="R1009" t="s">
        <v>24</v>
      </c>
      <c r="S1009">
        <v>145</v>
      </c>
      <c r="T1009" t="s">
        <v>738</v>
      </c>
      <c r="U1009">
        <v>450</v>
      </c>
      <c r="V1009">
        <v>180</v>
      </c>
      <c r="W1009">
        <v>3.5</v>
      </c>
      <c r="X1009" t="s">
        <v>26</v>
      </c>
      <c r="Y1009">
        <v>4.5</v>
      </c>
      <c r="Z1009">
        <v>0.05</v>
      </c>
      <c r="AA1009">
        <v>0.02</v>
      </c>
      <c r="AB1009">
        <v>65250</v>
      </c>
      <c r="AC1009">
        <v>63945</v>
      </c>
      <c r="AD1009">
        <v>507.5</v>
      </c>
      <c r="AE1009">
        <v>3197.25</v>
      </c>
      <c r="AF1009">
        <v>3197</v>
      </c>
      <c r="AG1009">
        <v>26100</v>
      </c>
      <c r="AH1009">
        <v>31450.75</v>
      </c>
      <c r="AI1009" s="5">
        <v>0.491840644303698</v>
      </c>
    </row>
    <row r="1010" spans="14:35" x14ac:dyDescent="0.25">
      <c r="N1010" t="s">
        <v>1032</v>
      </c>
      <c r="O1010" s="1">
        <v>46183</v>
      </c>
      <c r="P1010" t="s">
        <v>737</v>
      </c>
      <c r="Q1010" t="s">
        <v>23</v>
      </c>
      <c r="R1010" t="s">
        <v>32</v>
      </c>
      <c r="S1010">
        <v>173</v>
      </c>
      <c r="T1010" t="s">
        <v>738</v>
      </c>
      <c r="U1010">
        <v>450</v>
      </c>
      <c r="V1010">
        <v>180</v>
      </c>
      <c r="W1010">
        <v>3.5</v>
      </c>
      <c r="X1010" t="s">
        <v>26</v>
      </c>
      <c r="Y1010">
        <v>4.5</v>
      </c>
      <c r="Z1010">
        <v>0.05</v>
      </c>
      <c r="AA1010">
        <v>0.05</v>
      </c>
      <c r="AB1010">
        <v>77850</v>
      </c>
      <c r="AC1010">
        <v>73958</v>
      </c>
      <c r="AD1010">
        <v>605.5</v>
      </c>
      <c r="AE1010">
        <v>3697.9</v>
      </c>
      <c r="AF1010">
        <v>3698</v>
      </c>
      <c r="AG1010">
        <v>31140</v>
      </c>
      <c r="AH1010">
        <v>35422.1</v>
      </c>
      <c r="AI1010" s="5">
        <v>0.478948862868114</v>
      </c>
    </row>
    <row r="1011" spans="14:35" x14ac:dyDescent="0.25">
      <c r="N1011" t="s">
        <v>1033</v>
      </c>
      <c r="O1011" s="1">
        <v>46183.708333333336</v>
      </c>
      <c r="P1011" t="s">
        <v>737</v>
      </c>
      <c r="Q1011" t="s">
        <v>23</v>
      </c>
      <c r="R1011" t="s">
        <v>29</v>
      </c>
      <c r="S1011">
        <v>64</v>
      </c>
      <c r="T1011" t="s">
        <v>738</v>
      </c>
      <c r="U1011">
        <v>450</v>
      </c>
      <c r="V1011">
        <v>180</v>
      </c>
      <c r="W1011">
        <v>3.5</v>
      </c>
      <c r="X1011" t="s">
        <v>26</v>
      </c>
      <c r="Y1011">
        <v>4.5</v>
      </c>
      <c r="Z1011">
        <v>0.05</v>
      </c>
      <c r="AA1011">
        <v>0.1</v>
      </c>
      <c r="AB1011">
        <v>28800</v>
      </c>
      <c r="AC1011">
        <v>25920</v>
      </c>
      <c r="AD1011">
        <v>224</v>
      </c>
      <c r="AE1011">
        <v>1296</v>
      </c>
      <c r="AF1011">
        <v>1296</v>
      </c>
      <c r="AG1011">
        <v>11520</v>
      </c>
      <c r="AH1011">
        <v>11808</v>
      </c>
      <c r="AI1011" s="5">
        <v>0.45555555555555599</v>
      </c>
    </row>
    <row r="1012" spans="14:35" x14ac:dyDescent="0.25">
      <c r="N1012" t="s">
        <v>1034</v>
      </c>
      <c r="O1012" s="1">
        <v>46184</v>
      </c>
      <c r="P1012" t="s">
        <v>737</v>
      </c>
      <c r="Q1012" t="s">
        <v>23</v>
      </c>
      <c r="R1012" t="s">
        <v>32</v>
      </c>
      <c r="S1012">
        <v>16</v>
      </c>
      <c r="T1012" t="s">
        <v>738</v>
      </c>
      <c r="U1012">
        <v>450</v>
      </c>
      <c r="V1012">
        <v>180</v>
      </c>
      <c r="W1012">
        <v>3.5</v>
      </c>
      <c r="X1012" t="s">
        <v>26</v>
      </c>
      <c r="Y1012">
        <v>4.5</v>
      </c>
      <c r="Z1012">
        <v>0.05</v>
      </c>
      <c r="AA1012">
        <v>0.05</v>
      </c>
      <c r="AB1012">
        <v>7200</v>
      </c>
      <c r="AC1012">
        <v>6840</v>
      </c>
      <c r="AD1012">
        <v>56</v>
      </c>
      <c r="AE1012">
        <v>342</v>
      </c>
      <c r="AF1012">
        <v>342</v>
      </c>
      <c r="AG1012">
        <v>2880</v>
      </c>
      <c r="AH1012">
        <v>3276</v>
      </c>
      <c r="AI1012" s="5">
        <v>0.47894736842105301</v>
      </c>
    </row>
    <row r="1013" spans="14:35" x14ac:dyDescent="0.25">
      <c r="N1013" t="s">
        <v>1035</v>
      </c>
      <c r="O1013" s="1">
        <v>46184.291666666664</v>
      </c>
      <c r="P1013" t="s">
        <v>737</v>
      </c>
      <c r="Q1013" t="s">
        <v>23</v>
      </c>
      <c r="R1013" t="s">
        <v>24</v>
      </c>
      <c r="S1013">
        <v>171</v>
      </c>
      <c r="T1013" t="s">
        <v>738</v>
      </c>
      <c r="U1013">
        <v>450</v>
      </c>
      <c r="V1013">
        <v>180</v>
      </c>
      <c r="W1013">
        <v>3.5</v>
      </c>
      <c r="X1013" t="s">
        <v>26</v>
      </c>
      <c r="Y1013">
        <v>4.5</v>
      </c>
      <c r="Z1013">
        <v>0.05</v>
      </c>
      <c r="AA1013">
        <v>0.02</v>
      </c>
      <c r="AB1013">
        <v>76950</v>
      </c>
      <c r="AC1013">
        <v>75411</v>
      </c>
      <c r="AD1013">
        <v>598.5</v>
      </c>
      <c r="AE1013">
        <v>3770.55</v>
      </c>
      <c r="AF1013">
        <v>3771</v>
      </c>
      <c r="AG1013">
        <v>30780</v>
      </c>
      <c r="AH1013">
        <v>37089.449999999997</v>
      </c>
      <c r="AI1013" s="5">
        <v>0.49183076739467702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DBD4C-41A8-4054-8FA4-4534064A0D32}">
  <dimension ref="A3:P23"/>
  <sheetViews>
    <sheetView tabSelected="1" topLeftCell="H1" workbookViewId="0">
      <selection activeCell="N19" sqref="N19"/>
    </sheetView>
  </sheetViews>
  <sheetFormatPr defaultRowHeight="15" x14ac:dyDescent="0.25"/>
  <cols>
    <col min="1" max="1" width="13.140625" bestFit="1" customWidth="1"/>
    <col min="2" max="2" width="16.42578125" bestFit="1" customWidth="1"/>
    <col min="4" max="4" width="13.140625" bestFit="1" customWidth="1"/>
    <col min="5" max="5" width="17.7109375" bestFit="1" customWidth="1"/>
    <col min="6" max="6" width="14.42578125" bestFit="1" customWidth="1"/>
    <col min="7" max="7" width="18" bestFit="1" customWidth="1"/>
    <col min="8" max="8" width="26.85546875" bestFit="1" customWidth="1"/>
    <col min="9" max="9" width="17.5703125" bestFit="1" customWidth="1"/>
    <col min="10" max="10" width="28.85546875" bestFit="1" customWidth="1"/>
    <col min="15" max="15" width="18.28515625" bestFit="1" customWidth="1"/>
    <col min="16" max="16" width="20.7109375" bestFit="1" customWidth="1"/>
  </cols>
  <sheetData>
    <row r="3" spans="1:16" x14ac:dyDescent="0.25">
      <c r="A3" s="2" t="s">
        <v>1036</v>
      </c>
      <c r="B3" s="9" t="s">
        <v>1038</v>
      </c>
      <c r="I3" s="2" t="s">
        <v>1036</v>
      </c>
      <c r="J3" s="9" t="s">
        <v>1038</v>
      </c>
      <c r="O3" s="2" t="s">
        <v>1036</v>
      </c>
      <c r="P3" t="s">
        <v>1039</v>
      </c>
    </row>
    <row r="4" spans="1:16" ht="26.25" x14ac:dyDescent="0.4">
      <c r="A4" s="3" t="s">
        <v>26</v>
      </c>
      <c r="B4" s="9">
        <v>4100673.2</v>
      </c>
      <c r="D4" s="8">
        <f>GETPIVOTDATA("Net Profit",$A$3)</f>
        <v>9912595.7600000016</v>
      </c>
      <c r="I4" s="3" t="s">
        <v>25</v>
      </c>
      <c r="J4" s="9">
        <v>1692766.629999999</v>
      </c>
      <c r="O4" s="3" t="s">
        <v>25</v>
      </c>
      <c r="P4" s="4">
        <v>5490450</v>
      </c>
    </row>
    <row r="5" spans="1:16" ht="26.25" x14ac:dyDescent="0.4">
      <c r="A5" s="3" t="s">
        <v>278</v>
      </c>
      <c r="B5" s="9">
        <v>3190553.9600000009</v>
      </c>
      <c r="D5" s="7">
        <f>GETPIVOTDATA("Gross revenue",$O$3)</f>
        <v>29610160</v>
      </c>
      <c r="I5" s="3" t="s">
        <v>390</v>
      </c>
      <c r="J5" s="9">
        <v>3511147.8000000007</v>
      </c>
      <c r="O5" s="3" t="s">
        <v>390</v>
      </c>
      <c r="P5" s="4">
        <v>9968560</v>
      </c>
    </row>
    <row r="6" spans="1:16" ht="26.25" x14ac:dyDescent="0.4">
      <c r="A6" s="3" t="s">
        <v>156</v>
      </c>
      <c r="B6" s="9">
        <v>2621368.600000001</v>
      </c>
      <c r="D6" s="6">
        <f>GETPIVOTDATA("Profit Margin%",$A$11)</f>
        <v>0.35483690779366112</v>
      </c>
      <c r="I6" s="3" t="s">
        <v>738</v>
      </c>
      <c r="J6" s="9">
        <v>4708681.330000001</v>
      </c>
      <c r="O6" s="3" t="s">
        <v>738</v>
      </c>
      <c r="P6" s="4">
        <v>14151150</v>
      </c>
    </row>
    <row r="7" spans="1:16" x14ac:dyDescent="0.25">
      <c r="A7" s="3" t="s">
        <v>1037</v>
      </c>
      <c r="B7" s="9">
        <v>9912595.7600000016</v>
      </c>
      <c r="I7" s="3" t="s">
        <v>1037</v>
      </c>
      <c r="J7" s="9">
        <v>9912595.7600000016</v>
      </c>
      <c r="O7" s="3" t="s">
        <v>1037</v>
      </c>
      <c r="P7" s="4">
        <v>29610160</v>
      </c>
    </row>
    <row r="11" spans="1:16" x14ac:dyDescent="0.25">
      <c r="A11" s="2" t="s">
        <v>1036</v>
      </c>
      <c r="B11" s="5" t="s">
        <v>1041</v>
      </c>
    </row>
    <row r="12" spans="1:16" x14ac:dyDescent="0.25">
      <c r="A12" s="3" t="s">
        <v>25</v>
      </c>
      <c r="B12" s="5">
        <v>0.3274317782209471</v>
      </c>
    </row>
    <row r="13" spans="1:16" x14ac:dyDescent="0.25">
      <c r="A13" s="3" t="s">
        <v>390</v>
      </c>
      <c r="B13" s="5">
        <v>0.37290832565899568</v>
      </c>
    </row>
    <row r="14" spans="1:16" x14ac:dyDescent="0.25">
      <c r="A14" s="3" t="s">
        <v>738</v>
      </c>
      <c r="B14" s="5">
        <v>0.35270413543437085</v>
      </c>
    </row>
    <row r="15" spans="1:16" x14ac:dyDescent="0.25">
      <c r="A15" s="3" t="s">
        <v>1037</v>
      </c>
      <c r="B15" s="5">
        <v>0.35483690779366112</v>
      </c>
    </row>
    <row r="19" spans="4:10" x14ac:dyDescent="0.25">
      <c r="D19" s="2" t="s">
        <v>1036</v>
      </c>
      <c r="E19" t="s">
        <v>1044</v>
      </c>
      <c r="F19" t="s">
        <v>1043</v>
      </c>
      <c r="G19" t="s">
        <v>1042</v>
      </c>
      <c r="H19" s="5" t="s">
        <v>1045</v>
      </c>
      <c r="I19" t="s">
        <v>1046</v>
      </c>
      <c r="J19" t="s">
        <v>1047</v>
      </c>
    </row>
    <row r="20" spans="4:10" x14ac:dyDescent="0.25">
      <c r="D20" s="3" t="s">
        <v>26</v>
      </c>
      <c r="E20" s="4">
        <v>3725845</v>
      </c>
      <c r="F20" s="4">
        <v>434806.79999999987</v>
      </c>
      <c r="G20" s="4">
        <v>434811</v>
      </c>
      <c r="H20" s="5">
        <v>0.23340149684165601</v>
      </c>
      <c r="I20" s="4">
        <v>4100673.2</v>
      </c>
      <c r="J20" s="5">
        <v>0.4715511808922952</v>
      </c>
    </row>
    <row r="21" spans="4:10" x14ac:dyDescent="0.25">
      <c r="D21" s="3" t="s">
        <v>278</v>
      </c>
      <c r="E21" s="4">
        <v>4084055</v>
      </c>
      <c r="F21" s="4">
        <v>1148624.0399999998</v>
      </c>
      <c r="G21" s="4">
        <v>1148634</v>
      </c>
      <c r="H21" s="5">
        <v>0.5624943934398533</v>
      </c>
      <c r="I21" s="4">
        <v>3190553.96</v>
      </c>
      <c r="J21" s="5">
        <v>0.3333261901779454</v>
      </c>
    </row>
    <row r="22" spans="4:10" x14ac:dyDescent="0.25">
      <c r="D22" s="3" t="s">
        <v>156</v>
      </c>
      <c r="E22" s="4">
        <v>4145975</v>
      </c>
      <c r="F22" s="4">
        <v>1450145.4000000001</v>
      </c>
      <c r="G22" s="4">
        <v>1450147</v>
      </c>
      <c r="H22" s="5">
        <v>0.6995441120604925</v>
      </c>
      <c r="I22" s="4">
        <v>2621368.5999999996</v>
      </c>
      <c r="J22" s="5">
        <v>0.27114887238203833</v>
      </c>
    </row>
    <row r="23" spans="4:10" x14ac:dyDescent="0.25">
      <c r="D23" s="3" t="s">
        <v>1037</v>
      </c>
      <c r="E23" s="4">
        <v>11955875</v>
      </c>
      <c r="F23" s="4">
        <v>3033576.2399999998</v>
      </c>
      <c r="G23" s="4">
        <v>3033592</v>
      </c>
      <c r="H23" s="5">
        <v>0.50746333831693624</v>
      </c>
      <c r="I23" s="4">
        <v>9912595.7600000016</v>
      </c>
      <c r="J23" s="5">
        <v>0.35483690779366106</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EEBF9-2B87-40B4-A63B-137C343FB08C}">
  <dimension ref="A1:Z39"/>
  <sheetViews>
    <sheetView showRowColHeaders="0" topLeftCell="A16" zoomScale="75" zoomScaleNormal="75" workbookViewId="0">
      <selection activeCell="X8" sqref="X8"/>
    </sheetView>
  </sheetViews>
  <sheetFormatPr defaultColWidth="0" defaultRowHeight="15" zeroHeight="1" x14ac:dyDescent="0.25"/>
  <cols>
    <col min="1" max="26" width="9.140625" customWidth="1"/>
    <col min="27" max="16384" width="9.14062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5A5B64-C5F3-40DA-8C6B-A17A028962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Executive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OWI-Office155</dc:creator>
  <cp:lastModifiedBy>Ahmed Hamdy Hassan Adayel</cp:lastModifiedBy>
  <dcterms:created xsi:type="dcterms:W3CDTF">2026-05-14T06:22:58Z</dcterms:created>
  <dcterms:modified xsi:type="dcterms:W3CDTF">2026-05-18T11:40:02Z</dcterms:modified>
</cp:coreProperties>
</file>